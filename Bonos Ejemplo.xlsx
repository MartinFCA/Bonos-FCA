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9B1B998-071F-40EA-8800-7147CC2DB9B0}" xr6:coauthVersionLast="47" xr6:coauthVersionMax="47" xr10:uidLastSave="{00000000-0000-0000-0000-000000000000}"/>
  <bookViews>
    <workbookView xWindow="-120" yWindow="-120" windowWidth="20730" windowHeight="11040" xr2:uid="{8D98F1BD-7C59-42F2-9210-D24E4400257D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1" i="1" l="1"/>
  <c r="H69" i="1"/>
  <c r="C66" i="1"/>
  <c r="C65" i="1"/>
  <c r="M64" i="1"/>
  <c r="G64" i="1"/>
  <c r="H64" i="1" s="1"/>
  <c r="F64" i="1"/>
  <c r="B64" i="1"/>
  <c r="A64" i="1"/>
  <c r="H63" i="1"/>
  <c r="M62" i="1"/>
  <c r="G62" i="1"/>
  <c r="H62" i="1" s="1"/>
  <c r="F62" i="1"/>
  <c r="B62" i="1"/>
  <c r="A62" i="1"/>
  <c r="M61" i="1"/>
  <c r="G61" i="1"/>
  <c r="H61" i="1" s="1"/>
  <c r="F61" i="1"/>
  <c r="E61" i="1"/>
  <c r="B61" i="1"/>
  <c r="A61" i="1"/>
  <c r="M60" i="1"/>
  <c r="H60" i="1"/>
  <c r="G60" i="1"/>
  <c r="F60" i="1"/>
  <c r="E60" i="1"/>
  <c r="B60" i="1"/>
  <c r="A60" i="1"/>
  <c r="M59" i="1"/>
  <c r="G59" i="1"/>
  <c r="H59" i="1" s="1"/>
  <c r="F59" i="1"/>
  <c r="E59" i="1"/>
  <c r="B59" i="1"/>
  <c r="A59" i="1"/>
  <c r="M58" i="1"/>
  <c r="G58" i="1"/>
  <c r="H58" i="1" s="1"/>
  <c r="F58" i="1"/>
  <c r="E58" i="1"/>
  <c r="B58" i="1"/>
  <c r="A58" i="1"/>
  <c r="H57" i="1"/>
  <c r="M56" i="1"/>
  <c r="H56" i="1"/>
  <c r="G56" i="1"/>
  <c r="F56" i="1"/>
  <c r="B56" i="1"/>
  <c r="A56" i="1"/>
  <c r="M55" i="1"/>
  <c r="H55" i="1"/>
  <c r="G55" i="1"/>
  <c r="F55" i="1"/>
  <c r="B55" i="1"/>
  <c r="A55" i="1"/>
  <c r="M54" i="1"/>
  <c r="H54" i="1"/>
  <c r="G54" i="1"/>
  <c r="F54" i="1"/>
  <c r="B54" i="1"/>
  <c r="A54" i="1"/>
  <c r="M53" i="1"/>
  <c r="H53" i="1"/>
  <c r="G53" i="1"/>
  <c r="F53" i="1"/>
  <c r="E53" i="1"/>
  <c r="B53" i="1"/>
  <c r="A53" i="1"/>
  <c r="M52" i="1"/>
  <c r="G52" i="1"/>
  <c r="H52" i="1" s="1"/>
  <c r="F52" i="1"/>
  <c r="E52" i="1"/>
  <c r="B52" i="1"/>
  <c r="A52" i="1"/>
  <c r="M51" i="1"/>
  <c r="H51" i="1"/>
  <c r="G51" i="1"/>
  <c r="F51" i="1"/>
  <c r="E51" i="1"/>
  <c r="B51" i="1"/>
  <c r="A51" i="1"/>
  <c r="M49" i="1"/>
  <c r="G49" i="1"/>
  <c r="H49" i="1" s="1"/>
  <c r="F49" i="1"/>
  <c r="E49" i="1"/>
  <c r="B49" i="1"/>
  <c r="A49" i="1"/>
  <c r="M48" i="1"/>
  <c r="H48" i="1"/>
  <c r="G48" i="1"/>
  <c r="F48" i="1"/>
  <c r="B48" i="1"/>
  <c r="A48" i="1"/>
  <c r="H47" i="1"/>
  <c r="C47" i="1"/>
  <c r="H46" i="1"/>
  <c r="C46" i="1"/>
  <c r="H45" i="1"/>
  <c r="M44" i="1"/>
  <c r="G44" i="1"/>
  <c r="H44" i="1" s="1"/>
  <c r="F44" i="1"/>
  <c r="B44" i="1"/>
  <c r="A44" i="1"/>
  <c r="H43" i="1"/>
  <c r="C43" i="1"/>
  <c r="M42" i="1"/>
  <c r="G42" i="1"/>
  <c r="H42" i="1" s="1"/>
  <c r="F42" i="1"/>
  <c r="B42" i="1"/>
  <c r="A42" i="1"/>
  <c r="M41" i="1"/>
  <c r="G41" i="1"/>
  <c r="H41" i="1" s="1"/>
  <c r="F41" i="1"/>
  <c r="B41" i="1"/>
  <c r="A41" i="1"/>
  <c r="M40" i="1"/>
  <c r="G40" i="1"/>
  <c r="H40" i="1" s="1"/>
  <c r="F40" i="1"/>
  <c r="E40" i="1"/>
  <c r="B40" i="1"/>
  <c r="A40" i="1"/>
  <c r="M39" i="1"/>
  <c r="H39" i="1"/>
  <c r="G39" i="1"/>
  <c r="F39" i="1"/>
  <c r="E39" i="1"/>
  <c r="B39" i="1"/>
  <c r="A39" i="1"/>
  <c r="H38" i="1"/>
  <c r="C38" i="1"/>
  <c r="H37" i="1"/>
  <c r="C37" i="1"/>
  <c r="M36" i="1"/>
  <c r="G36" i="1"/>
  <c r="H36" i="1" s="1"/>
  <c r="F36" i="1"/>
  <c r="E36" i="1"/>
  <c r="B36" i="1"/>
  <c r="A36" i="1"/>
  <c r="H35" i="1"/>
  <c r="C35" i="1"/>
  <c r="H34" i="1"/>
  <c r="H33" i="1"/>
  <c r="H32" i="1"/>
  <c r="M31" i="1"/>
  <c r="G31" i="1"/>
  <c r="H31" i="1" s="1"/>
  <c r="F31" i="1"/>
  <c r="B31" i="1"/>
  <c r="A31" i="1"/>
  <c r="H30" i="1"/>
  <c r="H29" i="1"/>
  <c r="H28" i="1"/>
  <c r="H26" i="1"/>
  <c r="C26" i="1"/>
  <c r="M25" i="1"/>
  <c r="H25" i="1"/>
  <c r="G25" i="1"/>
  <c r="F25" i="1"/>
  <c r="E25" i="1"/>
  <c r="B25" i="1"/>
  <c r="A25" i="1"/>
  <c r="M24" i="1"/>
  <c r="G24" i="1"/>
  <c r="H24" i="1" s="1"/>
  <c r="F24" i="1"/>
  <c r="B24" i="1"/>
  <c r="A24" i="1"/>
  <c r="M23" i="1"/>
  <c r="G23" i="1"/>
  <c r="H23" i="1" s="1"/>
  <c r="F23" i="1"/>
  <c r="B23" i="1"/>
  <c r="A23" i="1"/>
  <c r="M22" i="1"/>
  <c r="G22" i="1"/>
  <c r="H22" i="1" s="1"/>
  <c r="F22" i="1"/>
  <c r="B22" i="1"/>
  <c r="A22" i="1"/>
  <c r="M21" i="1"/>
  <c r="G21" i="1"/>
  <c r="H21" i="1" s="1"/>
  <c r="F21" i="1"/>
  <c r="E21" i="1"/>
  <c r="B21" i="1"/>
  <c r="A21" i="1"/>
  <c r="H20" i="1"/>
  <c r="C20" i="1"/>
  <c r="H19" i="1"/>
  <c r="H16" i="1"/>
  <c r="H15" i="1"/>
  <c r="C15" i="1"/>
  <c r="H14" i="1"/>
  <c r="C14" i="1"/>
  <c r="M13" i="1"/>
  <c r="H13" i="1"/>
  <c r="G13" i="1"/>
  <c r="F13" i="1"/>
  <c r="B13" i="1"/>
  <c r="A13" i="1"/>
  <c r="M12" i="1"/>
  <c r="H12" i="1"/>
  <c r="G12" i="1"/>
  <c r="F12" i="1"/>
  <c r="B12" i="1"/>
  <c r="A12" i="1"/>
  <c r="M11" i="1"/>
  <c r="H11" i="1"/>
  <c r="G11" i="1"/>
  <c r="F11" i="1"/>
  <c r="E11" i="1"/>
  <c r="B11" i="1"/>
  <c r="A11" i="1"/>
  <c r="M9" i="1"/>
  <c r="G9" i="1"/>
  <c r="H9" i="1" s="1"/>
  <c r="F9" i="1"/>
  <c r="E9" i="1"/>
  <c r="B9" i="1"/>
  <c r="A9" i="1"/>
  <c r="M8" i="1"/>
  <c r="H8" i="1"/>
  <c r="G8" i="1"/>
  <c r="F8" i="1"/>
  <c r="E8" i="1"/>
  <c r="B8" i="1"/>
  <c r="A8" i="1"/>
  <c r="M7" i="1"/>
  <c r="G7" i="1"/>
  <c r="H7" i="1" s="1"/>
  <c r="F7" i="1"/>
  <c r="E7" i="1"/>
  <c r="B7" i="1"/>
  <c r="A7" i="1"/>
  <c r="M6" i="1"/>
  <c r="H6" i="1"/>
  <c r="G6" i="1"/>
  <c r="F6" i="1"/>
  <c r="E6" i="1"/>
  <c r="B6" i="1"/>
  <c r="A6" i="1"/>
  <c r="M5" i="1"/>
  <c r="G5" i="1"/>
  <c r="H5" i="1" s="1"/>
  <c r="F5" i="1"/>
  <c r="E5" i="1"/>
  <c r="B5" i="1"/>
  <c r="A5" i="1"/>
</calcChain>
</file>

<file path=xl/sharedStrings.xml><?xml version="1.0" encoding="utf-8"?>
<sst xmlns="http://schemas.openxmlformats.org/spreadsheetml/2006/main" count="415" uniqueCount="176">
  <si>
    <t>Industry</t>
  </si>
  <si>
    <t>Guarantor/Organization</t>
  </si>
  <si>
    <t>IG - HY</t>
  </si>
  <si>
    <t>Rating</t>
  </si>
  <si>
    <t>Coupon %</t>
  </si>
  <si>
    <t>Maturity</t>
  </si>
  <si>
    <t>Year</t>
  </si>
  <si>
    <t>YTW %</t>
  </si>
  <si>
    <t>Minimum Settlement</t>
  </si>
  <si>
    <t>ISIN</t>
  </si>
  <si>
    <t>Leasing and Rental</t>
  </si>
  <si>
    <t>Aercap</t>
  </si>
  <si>
    <t>IG</t>
  </si>
  <si>
    <t>BBB+</t>
  </si>
  <si>
    <t>US00774MAV72</t>
  </si>
  <si>
    <t>Motor Vehicle Production</t>
  </si>
  <si>
    <t>Ford Motor</t>
  </si>
  <si>
    <t>BBB-</t>
  </si>
  <si>
    <t>US345397E748</t>
  </si>
  <si>
    <t>US00774MAR60</t>
  </si>
  <si>
    <t>Sirius XM Holdings</t>
  </si>
  <si>
    <t>HY</t>
  </si>
  <si>
    <t>USU82764AM01</t>
  </si>
  <si>
    <t>Viatris</t>
  </si>
  <si>
    <t>US92556VAC00</t>
  </si>
  <si>
    <t>Eastman Chemical</t>
  </si>
  <si>
    <t>US277432AW04</t>
  </si>
  <si>
    <t>Ally Financial</t>
  </si>
  <si>
    <t>US02005NBP42</t>
  </si>
  <si>
    <t>General Motors</t>
  </si>
  <si>
    <t>-/BBB/BBB</t>
  </si>
  <si>
    <t>US37045VAS97</t>
  </si>
  <si>
    <t>Fluor</t>
  </si>
  <si>
    <t>US343412AF90</t>
  </si>
  <si>
    <t>Specialty Retailers</t>
  </si>
  <si>
    <t>Ba2/BB</t>
  </si>
  <si>
    <t>US655664AH33</t>
  </si>
  <si>
    <t>US345397D591</t>
  </si>
  <si>
    <t>Healthcare</t>
  </si>
  <si>
    <t>Molina Healthcare Inc</t>
  </si>
  <si>
    <t>BB-</t>
  </si>
  <si>
    <t>USU60868AC79</t>
  </si>
  <si>
    <t>Oil and Gas Extraction and Refining</t>
  </si>
  <si>
    <t>BB</t>
  </si>
  <si>
    <t>US279158AT64</t>
  </si>
  <si>
    <t>US02005NBT63</t>
  </si>
  <si>
    <t>Olin</t>
  </si>
  <si>
    <t>Ba2/BB/-</t>
  </si>
  <si>
    <t>US680665AL00</t>
  </si>
  <si>
    <t>FMC</t>
  </si>
  <si>
    <t>Ba1/BB+/BB+</t>
  </si>
  <si>
    <t>US302491AU91</t>
  </si>
  <si>
    <t>Methanex</t>
  </si>
  <si>
    <t>Ba2/BB/BB+</t>
  </si>
  <si>
    <t>US59151KAL26</t>
  </si>
  <si>
    <t>US277432AZ35</t>
  </si>
  <si>
    <t>Manufacture of Miscellaneous Consumer Goods</t>
  </si>
  <si>
    <t>Baa3/BBB/BBB-</t>
  </si>
  <si>
    <t>USU57619AG08</t>
  </si>
  <si>
    <t>Asset Management</t>
  </si>
  <si>
    <t>Ares Capital</t>
  </si>
  <si>
    <t>BBB</t>
  </si>
  <si>
    <t>US04010LBG77</t>
  </si>
  <si>
    <t>Baa2/BBB/BBB</t>
  </si>
  <si>
    <t>US37045VAY65</t>
  </si>
  <si>
    <t>Ba3/BB/B+</t>
  </si>
  <si>
    <t>US680665AK27</t>
  </si>
  <si>
    <t>USU60868AD52</t>
  </si>
  <si>
    <t>Apparel</t>
  </si>
  <si>
    <t>Gildan Activewear</t>
  </si>
  <si>
    <t>Baa3/BBB-/BBB</t>
  </si>
  <si>
    <t>USC39296AA34</t>
  </si>
  <si>
    <t>US04010LBK89</t>
  </si>
  <si>
    <t>B+</t>
  </si>
  <si>
    <t>USG38327AD78</t>
  </si>
  <si>
    <t>EQT</t>
  </si>
  <si>
    <t>US26884LAG41</t>
  </si>
  <si>
    <t>BB+/BBB-</t>
  </si>
  <si>
    <t>USU5562LAH25</t>
  </si>
  <si>
    <t>US436106AC21</t>
  </si>
  <si>
    <t>Petrobras</t>
  </si>
  <si>
    <t>US71647NBE85</t>
  </si>
  <si>
    <t>US92556VAD82</t>
  </si>
  <si>
    <t>Embraer</t>
  </si>
  <si>
    <t>USN29505AB53</t>
  </si>
  <si>
    <t>Vale</t>
  </si>
  <si>
    <t>Baa2/BBB/BBB+</t>
  </si>
  <si>
    <t>US91911TAQ67</t>
  </si>
  <si>
    <t>US655664AT70</t>
  </si>
  <si>
    <t>Centene</t>
  </si>
  <si>
    <t>BB+</t>
  </si>
  <si>
    <t>US15135BAW19</t>
  </si>
  <si>
    <t>Media</t>
  </si>
  <si>
    <t>Warner Media</t>
  </si>
  <si>
    <t>Ba3/BB+</t>
  </si>
  <si>
    <t>US25470DCC11</t>
  </si>
  <si>
    <t>US577081BG67</t>
  </si>
  <si>
    <t>US403949AR17</t>
  </si>
  <si>
    <t>US15135BAX91</t>
  </si>
  <si>
    <t>Micron Technology</t>
  </si>
  <si>
    <t>US595112CD31</t>
  </si>
  <si>
    <t>US71647NBH17</t>
  </si>
  <si>
    <t>British American Tobacco</t>
  </si>
  <si>
    <t>US05526DBS36</t>
  </si>
  <si>
    <t>USU2689EAB66</t>
  </si>
  <si>
    <t>Whirlpool</t>
  </si>
  <si>
    <t>Ba3/BB</t>
  </si>
  <si>
    <t>US963320AY28</t>
  </si>
  <si>
    <t>Occidental Petroleum</t>
  </si>
  <si>
    <t>BB+/BBB</t>
  </si>
  <si>
    <t>US674599DE26</t>
  </si>
  <si>
    <t>US55903VBQ59</t>
  </si>
  <si>
    <t>Tapestry</t>
  </si>
  <si>
    <t>US876030AA54</t>
  </si>
  <si>
    <t>US674599EK76</t>
  </si>
  <si>
    <t>USU59224AA07</t>
  </si>
  <si>
    <t>US05526DBW48</t>
  </si>
  <si>
    <t>Ba3/BB/BB+</t>
  </si>
  <si>
    <t>US963320AZ92</t>
  </si>
  <si>
    <t>Expand/Southwestern Energy</t>
  </si>
  <si>
    <t>US845467AT68</t>
  </si>
  <si>
    <t>BBB/BBB</t>
  </si>
  <si>
    <t>US595112CG61</t>
  </si>
  <si>
    <t>US403949AT72</t>
  </si>
  <si>
    <t>US577778BQ55</t>
  </si>
  <si>
    <t>Tobacco</t>
  </si>
  <si>
    <t>Baa1/BBB+/BBB+</t>
  </si>
  <si>
    <t>US054989AB41</t>
  </si>
  <si>
    <t>USC39296AB17</t>
  </si>
  <si>
    <t>Aircraft Production and Defense</t>
  </si>
  <si>
    <t>US29082HAE27</t>
  </si>
  <si>
    <t>Baa2/BBB/Withdrawn</t>
  </si>
  <si>
    <t>US876030AL10</t>
  </si>
  <si>
    <t>US165167DH73</t>
  </si>
  <si>
    <t>Chemical and petrochemical industry</t>
  </si>
  <si>
    <t>Nordstrom</t>
  </si>
  <si>
    <t>Ecopetrol</t>
  </si>
  <si>
    <t>Mattel</t>
  </si>
  <si>
    <t>Geopark</t>
  </si>
  <si>
    <t>Macy´s</t>
  </si>
  <si>
    <t>HF Sinclair</t>
  </si>
  <si>
    <t>Issuer</t>
  </si>
  <si>
    <t>Price</t>
  </si>
  <si>
    <t>Gspread</t>
  </si>
  <si>
    <t>Aercap Holdings</t>
  </si>
  <si>
    <t>Ford Motor Credit Co</t>
  </si>
  <si>
    <t>Prev month
YTW%</t>
  </si>
  <si>
    <t>Outstanding
US$</t>
  </si>
  <si>
    <t>29/10/2026</t>
  </si>
  <si>
    <t>USU82764AT53</t>
  </si>
  <si>
    <t>Chemours</t>
  </si>
  <si>
    <t>B1/BB-</t>
  </si>
  <si>
    <t>USU16309AH65</t>
  </si>
  <si>
    <t>USU16309AJ22</t>
  </si>
  <si>
    <t>US674599EL59</t>
  </si>
  <si>
    <t>Falabella</t>
  </si>
  <si>
    <t>USP82290AR17</t>
  </si>
  <si>
    <t>US277432BB57</t>
  </si>
  <si>
    <t xml:space="preserve"> -/BB+/BBB-</t>
  </si>
  <si>
    <t>USP3984LAA81</t>
  </si>
  <si>
    <t>Decisión</t>
  </si>
  <si>
    <t>Buy</t>
  </si>
  <si>
    <t>Xerox</t>
  </si>
  <si>
    <t>Caa3/CCC+/CCC</t>
  </si>
  <si>
    <t>USU98401AB58</t>
  </si>
  <si>
    <t>Done</t>
  </si>
  <si>
    <t>Braskem</t>
  </si>
  <si>
    <t>Caa3/CCC-/CC</t>
  </si>
  <si>
    <t>USN15516AB83</t>
  </si>
  <si>
    <t>Clearwater Paper</t>
  </si>
  <si>
    <t>Pulp, Paper and Wood</t>
  </si>
  <si>
    <t>Ba3/B+</t>
  </si>
  <si>
    <t>USU18510AE44</t>
  </si>
  <si>
    <t>Hold</t>
  </si>
  <si>
    <t>DaVita</t>
  </si>
  <si>
    <t>USU23888AE71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</si>
</sst>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\.mm\.yy;@"/>
    <numFmt numFmtId="165" formatCode="&quot;$&quot;#,##0"/>
    <numFmt numFmtId="166" formatCode="0.0%"/>
    <numFmt numFmtId="167" formatCode="dd/mm/yyyy;@"/>
    <numFmt numFmtId="168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Comfortaa"/>
    </font>
    <font>
      <sz val="11"/>
      <color theme="4"/>
      <name val="Comfortaa"/>
    </font>
    <font>
      <sz val="11"/>
      <color theme="1"/>
      <name val="Comfortaa"/>
    </font>
    <font>
      <sz val="11"/>
      <name val="Comfortaa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58595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9" fontId="0" fillId="0" borderId="0" xfId="1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4" xfId="1" applyNumberFormat="1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68" fontId="5" fillId="0" borderId="4" xfId="1" applyNumberFormat="1" applyFont="1" applyBorder="1" applyAlignment="1">
      <alignment horizontal="center" vertical="center"/>
    </xf>
    <xf numFmtId="3" fontId="5" fillId="0" borderId="4" xfId="2" applyNumberFormat="1" applyFont="1" applyFill="1" applyBorder="1" applyAlignment="1">
      <alignment horizontal="center" vertical="center"/>
    </xf>
    <xf numFmtId="3" fontId="2" fillId="0" borderId="4" xfId="3" applyNumberFormat="1" applyFill="1" applyBorder="1" applyAlignment="1">
      <alignment horizontal="center" vertical="center"/>
    </xf>
    <xf numFmtId="165" fontId="5" fillId="0" borderId="5" xfId="2" applyNumberFormat="1" applyFont="1" applyFill="1" applyBorder="1" applyAlignment="1">
      <alignment horizontal="center" vertical="center"/>
    </xf>
    <xf numFmtId="166" fontId="5" fillId="0" borderId="4" xfId="1" applyNumberFormat="1" applyFont="1" applyBorder="1"/>
    <xf numFmtId="3" fontId="2" fillId="0" borderId="4" xfId="3" applyNumberForma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6" fontId="5" fillId="4" borderId="4" xfId="1" applyNumberFormat="1" applyFont="1" applyFill="1" applyBorder="1" applyAlignment="1">
      <alignment horizontal="center" vertical="center"/>
    </xf>
    <xf numFmtId="167" fontId="5" fillId="4" borderId="4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8" fontId="5" fillId="4" borderId="4" xfId="1" applyNumberFormat="1" applyFont="1" applyFill="1" applyBorder="1" applyAlignment="1">
      <alignment horizontal="center" vertical="center"/>
    </xf>
    <xf numFmtId="3" fontId="5" fillId="4" borderId="4" xfId="2" applyNumberFormat="1" applyFont="1" applyFill="1" applyBorder="1" applyAlignment="1">
      <alignment horizontal="center" vertical="center"/>
    </xf>
    <xf numFmtId="3" fontId="2" fillId="4" borderId="4" xfId="3" applyNumberFormat="1" applyFill="1" applyBorder="1" applyAlignment="1">
      <alignment horizontal="center" vertical="center"/>
    </xf>
    <xf numFmtId="165" fontId="5" fillId="4" borderId="5" xfId="2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6" fontId="5" fillId="0" borderId="7" xfId="1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3" fontId="5" fillId="0" borderId="7" xfId="2" applyNumberFormat="1" applyFont="1" applyFill="1" applyBorder="1" applyAlignment="1">
      <alignment horizontal="center" vertical="center"/>
    </xf>
    <xf numFmtId="3" fontId="2" fillId="0" borderId="7" xfId="3" applyNumberFormat="1" applyFill="1" applyBorder="1" applyAlignment="1">
      <alignment horizontal="center" vertical="center"/>
    </xf>
    <xf numFmtId="166" fontId="5" fillId="0" borderId="4" xfId="1" applyNumberFormat="1" applyFont="1" applyFill="1" applyBorder="1" applyAlignment="1">
      <alignment horizontal="center" vertical="center"/>
    </xf>
    <xf numFmtId="0" fontId="2" fillId="0" borderId="0" xfId="3" applyFill="1" applyAlignment="1">
      <alignment horizontal="center"/>
    </xf>
    <xf numFmtId="0" fontId="2" fillId="4" borderId="0" xfId="3" applyFill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5" fontId="5" fillId="0" borderId="8" xfId="2" applyNumberFormat="1" applyFont="1" applyFill="1" applyBorder="1" applyAlignment="1">
      <alignment horizontal="center" vertical="center"/>
    </xf>
    <xf numFmtId="168" fontId="5" fillId="5" borderId="4" xfId="1" applyNumberFormat="1" applyFont="1" applyFill="1" applyBorder="1" applyAlignment="1">
      <alignment horizontal="center" vertical="center"/>
    </xf>
  </cellXfs>
  <cellStyles count="4">
    <cellStyle name="Hipervínculo" xfId="3" builtinId="8"/>
    <cellStyle name="Millares 3" xfId="2" xr:uid="{1746C45B-35CD-444D-849E-3B0966233946}"/>
    <cellStyle name="Normal" xfId="0" builtinId="0"/>
    <cellStyle name="Porcentaje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6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5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8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8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8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8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7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numFmt numFmtId="166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forta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omfortaa"/>
        <scheme val="none"/>
      </font>
      <fill>
        <patternFill patternType="solid">
          <fgColor indexed="64"/>
          <bgColor rgb="FF58595B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4b4ddab53a69d15/Desktop/FCA%20Asset%20Management/Bonos%20Fondos/Bonos%20-%20FCA%20Asset%20Management.xlsm" TargetMode="External"/><Relationship Id="rId1" Type="http://schemas.openxmlformats.org/officeDocument/2006/relationships/externalLinkPath" Target="https://d.docs.live.net/74b4ddab53a69d15/Desktop/FCA%20Asset%20Management/Bonos%20Fondos/Bonos%20-%20FCA%20Asset%20Managemen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dder"/>
      <sheetName val="Dinamica"/>
      <sheetName val="Ladder (including ARG issuers)"/>
      <sheetName val="Ladder (incl ARG) 1 bond"/>
      <sheetName val="1Q24"/>
      <sheetName val="2Q24"/>
      <sheetName val="3Q24"/>
      <sheetName val="4Q24"/>
      <sheetName val="1Q25"/>
      <sheetName val="2Q25"/>
      <sheetName val="Cbonds export 05.20.2025"/>
      <sheetName val="3Q25"/>
      <sheetName val="4Q25"/>
      <sheetName val="1Q26"/>
      <sheetName val="ETFs Blackrock"/>
      <sheetName val="Prospects &amp; Others"/>
      <sheetName val="Bonos Lantia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">
          <cell r="B14" t="str">
            <v>ISSUER</v>
          </cell>
          <cell r="C14" t="str">
            <v>ISSUER INDUSTRY</v>
          </cell>
          <cell r="D14" t="str">
            <v>ISSUER RATING M/S&amp;P/F FOREIGN CURRENCY</v>
          </cell>
          <cell r="F14" t="str">
            <v>COUPON, % P.A.</v>
          </cell>
          <cell r="G14" t="str">
            <v>MATURITY DATE</v>
          </cell>
          <cell r="J14" t="str">
            <v>FACE VALUE / MINIMUM SETTLEMENT AMOUNT</v>
          </cell>
          <cell r="K14" t="str">
            <v>ISIN</v>
          </cell>
        </row>
        <row r="15">
          <cell r="B15" t="str">
            <v>Warner Bros. Discovery</v>
          </cell>
          <cell r="C15" t="str">
            <v>Media</v>
          </cell>
          <cell r="D15" t="str">
            <v>-/BBB-/BBB-</v>
          </cell>
          <cell r="F15">
            <v>3.95E-2</v>
          </cell>
          <cell r="G15" t="str">
            <v>15/06/2025</v>
          </cell>
          <cell r="J15">
            <v>2000</v>
          </cell>
          <cell r="K15" t="str">
            <v>US811065AG61</v>
          </cell>
        </row>
        <row r="16">
          <cell r="B16" t="str">
            <v>Viatris</v>
          </cell>
          <cell r="C16" t="str">
            <v>Pharmaceutical Preparation and Biotechnology</v>
          </cell>
          <cell r="D16" t="str">
            <v>-/BB+/BBB</v>
          </cell>
          <cell r="F16">
            <v>1.6500000000000001E-2</v>
          </cell>
          <cell r="G16" t="str">
            <v>22/06/2025</v>
          </cell>
          <cell r="J16">
            <v>2000</v>
          </cell>
          <cell r="K16" t="str">
            <v>US92556VAB27</v>
          </cell>
        </row>
        <row r="17">
          <cell r="B17" t="str">
            <v>Aercap Holdings</v>
          </cell>
          <cell r="C17" t="str">
            <v>Leasing and Rental</v>
          </cell>
          <cell r="D17" t="str">
            <v>-/BBB+/BBB+</v>
          </cell>
          <cell r="F17">
            <v>6.5000000000000002E-2</v>
          </cell>
          <cell r="G17" t="str">
            <v>15/07/2025</v>
          </cell>
          <cell r="J17">
            <v>150000</v>
          </cell>
          <cell r="K17" t="str">
            <v>US00774MAN56</v>
          </cell>
        </row>
        <row r="18">
          <cell r="B18" t="str">
            <v>Xerox Holdings Corporation</v>
          </cell>
          <cell r="C18" t="str">
            <v>IT equipment</v>
          </cell>
          <cell r="D18" t="str">
            <v>B2/B+/Withdrawn</v>
          </cell>
          <cell r="F18">
            <v>0.05</v>
          </cell>
          <cell r="G18" t="str">
            <v>15/08/2025</v>
          </cell>
          <cell r="J18">
            <v>2000</v>
          </cell>
          <cell r="K18" t="str">
            <v>USU98401AA75</v>
          </cell>
        </row>
        <row r="19">
          <cell r="B19" t="str">
            <v>General Motors</v>
          </cell>
          <cell r="C19" t="str">
            <v>Motor Vehicle Production</v>
          </cell>
          <cell r="D19" t="str">
            <v>-/BBB/BBB</v>
          </cell>
          <cell r="F19">
            <v>6.1249999999999999E-2</v>
          </cell>
          <cell r="G19">
            <v>45667</v>
          </cell>
          <cell r="J19">
            <v>2000</v>
          </cell>
          <cell r="K19" t="str">
            <v>US37045VAV27</v>
          </cell>
        </row>
        <row r="20">
          <cell r="B20" t="str">
            <v>Ford Motor</v>
          </cell>
          <cell r="C20" t="str">
            <v>Motor Vehicle Production</v>
          </cell>
          <cell r="D20" t="str">
            <v>-/BBB-/BBB-</v>
          </cell>
          <cell r="F20">
            <v>7.1249999999999994E-2</v>
          </cell>
          <cell r="G20" t="str">
            <v>15/11/2025</v>
          </cell>
          <cell r="J20">
            <v>5000</v>
          </cell>
          <cell r="K20" t="str">
            <v>US345370BN94</v>
          </cell>
        </row>
        <row r="21">
          <cell r="B21" t="str">
            <v>Telecom Argentina</v>
          </cell>
          <cell r="C21" t="str">
            <v>Communication Services</v>
          </cell>
          <cell r="D21" t="str">
            <v>Caa1/B-/B-</v>
          </cell>
          <cell r="F21">
            <v>0.08</v>
          </cell>
          <cell r="G21" t="str">
            <v>18/07/2026</v>
          </cell>
          <cell r="J21">
            <v>1000</v>
          </cell>
          <cell r="K21" t="str">
            <v>USP9028NAV30</v>
          </cell>
        </row>
        <row r="22">
          <cell r="B22" t="str">
            <v>Banco Galicia</v>
          </cell>
          <cell r="C22" t="str">
            <v>Banks</v>
          </cell>
          <cell r="D22" t="str">
            <v>Caa2/B-/-</v>
          </cell>
          <cell r="F22">
            <v>7.9619999999999996E-2</v>
          </cell>
          <cell r="G22" t="str">
            <v>19/07/2026</v>
          </cell>
          <cell r="J22">
            <v>200000</v>
          </cell>
          <cell r="K22" t="str">
            <v>USP0R66CAA64</v>
          </cell>
        </row>
        <row r="23">
          <cell r="B23" t="str">
            <v>Sirius XM Radio Inc</v>
          </cell>
          <cell r="C23" t="str">
            <v>Other sectors</v>
          </cell>
          <cell r="D23" t="str">
            <v>-/-/-</v>
          </cell>
          <cell r="F23">
            <v>3.125E-2</v>
          </cell>
          <cell r="G23">
            <v>46031</v>
          </cell>
          <cell r="J23">
            <v>2000</v>
          </cell>
          <cell r="K23" t="str">
            <v>USU82764AU27</v>
          </cell>
        </row>
        <row r="24">
          <cell r="B24" t="str">
            <v>FMC</v>
          </cell>
          <cell r="C24" t="str">
            <v>Fertilizers</v>
          </cell>
          <cell r="D24" t="str">
            <v>-/BBB-/BBB-</v>
          </cell>
          <cell r="F24">
            <v>3.2000000000000001E-2</v>
          </cell>
          <cell r="G24">
            <v>46032</v>
          </cell>
          <cell r="J24">
            <v>2000</v>
          </cell>
          <cell r="K24" t="str">
            <v>US302491AT29</v>
          </cell>
        </row>
        <row r="25">
          <cell r="B25" t="str">
            <v>Aercap Holdings</v>
          </cell>
          <cell r="C25" t="str">
            <v>Leasing and Rental</v>
          </cell>
          <cell r="D25" t="str">
            <v>-/BBB+/BBB+</v>
          </cell>
          <cell r="F25">
            <v>2.4500000000000001E-2</v>
          </cell>
          <cell r="G25" t="str">
            <v>29/10/2026</v>
          </cell>
          <cell r="J25">
            <v>150000</v>
          </cell>
          <cell r="K25" t="str">
            <v>US00774MAV72</v>
          </cell>
        </row>
        <row r="26">
          <cell r="B26" t="str">
            <v>Ford Motor</v>
          </cell>
          <cell r="C26" t="str">
            <v>Motor Vehicle Production</v>
          </cell>
          <cell r="D26" t="str">
            <v>-/BBB-/BBB-</v>
          </cell>
          <cell r="F26">
            <v>4.3459999999999999E-2</v>
          </cell>
          <cell r="G26">
            <v>46246</v>
          </cell>
          <cell r="J26">
            <v>2000</v>
          </cell>
          <cell r="K26" t="str">
            <v>US345370CR99</v>
          </cell>
        </row>
        <row r="27">
          <cell r="B27" t="str">
            <v>Eastman Chemical</v>
          </cell>
          <cell r="C27" t="str">
            <v>Chemical and petrochemical industry</v>
          </cell>
          <cell r="D27" t="str">
            <v>Baa2/BBB/Withdrawn</v>
          </cell>
          <cell r="F27">
            <v>7.5999999999999998E-2</v>
          </cell>
          <cell r="G27">
            <v>46389</v>
          </cell>
          <cell r="J27">
            <v>1000</v>
          </cell>
          <cell r="K27" t="str">
            <v>US277432AD23</v>
          </cell>
        </row>
        <row r="28">
          <cell r="B28" t="str">
            <v>Chemours</v>
          </cell>
          <cell r="C28" t="str">
            <v>Chemical and petrochemical industry</v>
          </cell>
          <cell r="D28" t="str">
            <v>Ba3/BB-/-</v>
          </cell>
          <cell r="F28">
            <v>5.3749999999999999E-2</v>
          </cell>
          <cell r="G28" t="str">
            <v>15/05/2027</v>
          </cell>
          <cell r="J28">
            <v>2000</v>
          </cell>
          <cell r="K28" t="str">
            <v>US163851AE83</v>
          </cell>
        </row>
        <row r="29">
          <cell r="B29" t="str">
            <v>Ally Financial</v>
          </cell>
          <cell r="C29" t="str">
            <v>Banks</v>
          </cell>
          <cell r="D29" t="str">
            <v>Baa3/BBB-/BBB-</v>
          </cell>
          <cell r="F29">
            <v>4.7500000000000001E-2</v>
          </cell>
          <cell r="G29">
            <v>46636</v>
          </cell>
          <cell r="J29">
            <v>2000</v>
          </cell>
          <cell r="K29" t="str">
            <v>US02005NBQ25</v>
          </cell>
        </row>
        <row r="30">
          <cell r="B30" t="str">
            <v>Viatris</v>
          </cell>
          <cell r="C30" t="str">
            <v>Pharmaceutical Preparation and Biotechnology</v>
          </cell>
          <cell r="D30" t="str">
            <v>-/BB+/BBB</v>
          </cell>
          <cell r="F30">
            <v>2.3E-2</v>
          </cell>
          <cell r="G30" t="str">
            <v>22/06/2027</v>
          </cell>
          <cell r="J30">
            <v>2000</v>
          </cell>
          <cell r="K30" t="str">
            <v>US92556VAC00</v>
          </cell>
        </row>
        <row r="31">
          <cell r="B31" t="str">
            <v>Viatris</v>
          </cell>
          <cell r="C31" t="str">
            <v>Pharmaceutical Preparation and Biotechnology</v>
          </cell>
          <cell r="D31" t="str">
            <v>-/BB+/BBB</v>
          </cell>
          <cell r="F31">
            <v>2.3E-2</v>
          </cell>
          <cell r="G31" t="str">
            <v>22/06/2027</v>
          </cell>
          <cell r="J31">
            <v>2000</v>
          </cell>
          <cell r="K31" t="str">
            <v>USU9156BAC91</v>
          </cell>
        </row>
        <row r="32">
          <cell r="B32" t="str">
            <v>YPF</v>
          </cell>
          <cell r="C32" t="str">
            <v>Oil and Gas Extraction and Refining</v>
          </cell>
          <cell r="D32" t="str">
            <v>Caa1/B-/CCC+</v>
          </cell>
          <cell r="F32">
            <v>6.9500000000000006E-2</v>
          </cell>
          <cell r="G32" t="str">
            <v>21/07/2027</v>
          </cell>
          <cell r="J32">
            <v>10000</v>
          </cell>
          <cell r="K32" t="str">
            <v>USP989MJBL47</v>
          </cell>
        </row>
        <row r="33">
          <cell r="B33" t="str">
            <v>Sirius XM Holdings</v>
          </cell>
          <cell r="C33" t="str">
            <v>Media</v>
          </cell>
          <cell r="D33" t="str">
            <v>-/BB+/-</v>
          </cell>
          <cell r="F33">
            <v>0.05</v>
          </cell>
          <cell r="G33">
            <v>46395</v>
          </cell>
          <cell r="J33">
            <v>2000</v>
          </cell>
          <cell r="K33" t="str">
            <v>USU82764AM01</v>
          </cell>
        </row>
        <row r="34">
          <cell r="B34" t="str">
            <v>General Motors</v>
          </cell>
          <cell r="C34" t="str">
            <v>Motor Vehicle Production</v>
          </cell>
          <cell r="D34" t="str">
            <v>-/BBB/BBB</v>
          </cell>
          <cell r="F34">
            <v>6.8000000000000005E-2</v>
          </cell>
          <cell r="G34">
            <v>46397</v>
          </cell>
          <cell r="J34">
            <v>2000</v>
          </cell>
          <cell r="K34" t="str">
            <v>US37045VAU44</v>
          </cell>
        </row>
        <row r="35">
          <cell r="B35" t="str">
            <v>Methanex</v>
          </cell>
          <cell r="C35" t="str">
            <v>Chemical and petrochemical industry</v>
          </cell>
          <cell r="D35" t="str">
            <v>Ba1/BB/BB+</v>
          </cell>
          <cell r="F35">
            <v>5.1249999999999997E-2</v>
          </cell>
          <cell r="G35" t="str">
            <v>15/10/2027</v>
          </cell>
          <cell r="J35">
            <v>2000</v>
          </cell>
          <cell r="K35" t="str">
            <v>US59151KAM09</v>
          </cell>
        </row>
        <row r="36">
          <cell r="B36" t="str">
            <v>Falabella</v>
          </cell>
          <cell r="C36" t="str">
            <v>Specialty Retailers</v>
          </cell>
          <cell r="D36" t="str">
            <v>-/BB+/BB+</v>
          </cell>
          <cell r="F36">
            <v>3.7499999999999999E-2</v>
          </cell>
          <cell r="G36" t="str">
            <v>30/10/2027</v>
          </cell>
          <cell r="J36">
            <v>200000</v>
          </cell>
          <cell r="K36" t="str">
            <v>USP82290AR17</v>
          </cell>
        </row>
        <row r="37">
          <cell r="B37" t="str">
            <v>Braskem</v>
          </cell>
          <cell r="C37" t="str">
            <v>Chemical and petrochemical industry</v>
          </cell>
          <cell r="D37" t="str">
            <v>Ba3/BB+/BB+</v>
          </cell>
          <cell r="F37">
            <v>4.4999999999999998E-2</v>
          </cell>
          <cell r="G37">
            <v>47027</v>
          </cell>
          <cell r="J37">
            <v>200000</v>
          </cell>
          <cell r="K37" t="str">
            <v>USN15516AB83</v>
          </cell>
        </row>
        <row r="38">
          <cell r="B38" t="str">
            <v>Embraer</v>
          </cell>
          <cell r="C38" t="str">
            <v>Aircraft Production and Defense</v>
          </cell>
          <cell r="D38" t="str">
            <v>Baa3/BBB-/BBB-</v>
          </cell>
          <cell r="F38">
            <v>6.9500000000000006E-2</v>
          </cell>
          <cell r="G38" t="str">
            <v>17/01/2028</v>
          </cell>
          <cell r="J38">
            <v>200000</v>
          </cell>
          <cell r="K38" t="str">
            <v>USN29505AA70</v>
          </cell>
        </row>
        <row r="39">
          <cell r="B39" t="str">
            <v>Petrobras</v>
          </cell>
          <cell r="C39" t="str">
            <v>Oil and Gas Extraction and Refining</v>
          </cell>
          <cell r="D39" t="str">
            <v>Ba1/BB/BB</v>
          </cell>
          <cell r="F39">
            <v>5.9990000000000002E-2</v>
          </cell>
          <cell r="G39" t="str">
            <v>27/01/2028</v>
          </cell>
          <cell r="J39">
            <v>2000</v>
          </cell>
          <cell r="K39" t="str">
            <v>USN6945AAK36</v>
          </cell>
        </row>
        <row r="40">
          <cell r="B40" t="str">
            <v>EQT</v>
          </cell>
          <cell r="C40" t="str">
            <v>Oil and Gas Extraction and Refining</v>
          </cell>
          <cell r="D40" t="str">
            <v>Withdrawn/BBB-/BBB-</v>
          </cell>
          <cell r="F40">
            <v>5.7000000000000002E-2</v>
          </cell>
          <cell r="G40">
            <v>46756</v>
          </cell>
          <cell r="J40">
            <v>2000</v>
          </cell>
          <cell r="K40" t="str">
            <v>US26884LAQ23</v>
          </cell>
        </row>
        <row r="41">
          <cell r="B41" t="str">
            <v>Xerox Holdings Corporation</v>
          </cell>
          <cell r="C41" t="str">
            <v>IT equipment</v>
          </cell>
          <cell r="D41" t="str">
            <v>B2/B+/Withdrawn</v>
          </cell>
          <cell r="F41">
            <v>5.5E-2</v>
          </cell>
          <cell r="G41" t="str">
            <v>15/08/2028</v>
          </cell>
          <cell r="J41">
            <v>2000</v>
          </cell>
          <cell r="K41" t="str">
            <v>USU98401AB58</v>
          </cell>
        </row>
        <row r="42">
          <cell r="B42" t="str">
            <v>Fluor</v>
          </cell>
          <cell r="C42" t="str">
            <v>Infrastructure and Special Construction</v>
          </cell>
          <cell r="D42" t="str">
            <v>Ba1/BB+/Withdrawn</v>
          </cell>
          <cell r="F42">
            <v>4.2500000000000003E-2</v>
          </cell>
          <cell r="G42" t="str">
            <v>15/09/2028</v>
          </cell>
          <cell r="J42">
            <v>2000</v>
          </cell>
          <cell r="K42" t="str">
            <v>US343412AF90</v>
          </cell>
        </row>
        <row r="43">
          <cell r="B43" t="str">
            <v>General Motors</v>
          </cell>
          <cell r="C43" t="str">
            <v>Motor Vehicle Production</v>
          </cell>
          <cell r="D43" t="str">
            <v>-/BBB/BBB</v>
          </cell>
          <cell r="F43">
            <v>0.05</v>
          </cell>
          <cell r="G43">
            <v>46762</v>
          </cell>
          <cell r="J43">
            <v>2000</v>
          </cell>
          <cell r="K43" t="str">
            <v>US37045VAS97</v>
          </cell>
        </row>
        <row r="44">
          <cell r="B44" t="str">
            <v>Mercer International</v>
          </cell>
          <cell r="C44" t="str">
            <v>Pulp, Paper and Wood</v>
          </cell>
          <cell r="D44" t="str">
            <v>B2/B/B+</v>
          </cell>
          <cell r="F44">
            <v>0.12875</v>
          </cell>
          <cell r="G44">
            <v>46762</v>
          </cell>
          <cell r="J44">
            <v>2000</v>
          </cell>
          <cell r="K44" t="str">
            <v>USU58839AL29</v>
          </cell>
        </row>
        <row r="45">
          <cell r="B45" t="str">
            <v>Ally Financial</v>
          </cell>
          <cell r="C45" t="str">
            <v>Banks</v>
          </cell>
          <cell r="D45" t="str">
            <v>Baa3/BBB-/BBB-</v>
          </cell>
          <cell r="F45">
            <v>2.1999999999999999E-2</v>
          </cell>
          <cell r="G45">
            <v>46794</v>
          </cell>
          <cell r="J45">
            <v>2000</v>
          </cell>
          <cell r="K45" t="str">
            <v>US02005NBP42</v>
          </cell>
        </row>
        <row r="46">
          <cell r="B46" t="str">
            <v>Eastman Chemical</v>
          </cell>
          <cell r="C46" t="str">
            <v>Chemical and petrochemical industry</v>
          </cell>
          <cell r="D46" t="str">
            <v>Baa2/BBB/Withdrawn</v>
          </cell>
          <cell r="F46">
            <v>4.4999999999999998E-2</v>
          </cell>
          <cell r="G46">
            <v>46764</v>
          </cell>
          <cell r="J46">
            <v>2000</v>
          </cell>
          <cell r="K46" t="str">
            <v>US277432AW04</v>
          </cell>
        </row>
        <row r="47">
          <cell r="B47" t="str">
            <v>EQT</v>
          </cell>
          <cell r="C47" t="str">
            <v>Oil and Gas Extraction and Refining</v>
          </cell>
          <cell r="D47" t="str">
            <v>Withdrawn/BBB-/BBB-</v>
          </cell>
          <cell r="F47">
            <v>0.05</v>
          </cell>
          <cell r="G47" t="str">
            <v>15/01/2029</v>
          </cell>
          <cell r="J47">
            <v>2000</v>
          </cell>
          <cell r="K47" t="str">
            <v>US26884LAL36</v>
          </cell>
        </row>
        <row r="48">
          <cell r="B48" t="str">
            <v>Petrobras</v>
          </cell>
          <cell r="C48" t="str">
            <v>Oil and Gas Extraction and Refining</v>
          </cell>
          <cell r="D48" t="str">
            <v>Ba1/BB/BB</v>
          </cell>
          <cell r="F48">
            <v>5.7500000000000002E-2</v>
          </cell>
          <cell r="G48">
            <v>47120</v>
          </cell>
          <cell r="J48">
            <v>2000</v>
          </cell>
          <cell r="K48" t="str">
            <v>US71647NAZ24</v>
          </cell>
        </row>
        <row r="49">
          <cell r="B49" t="str">
            <v>Occidental Petroleum</v>
          </cell>
          <cell r="C49" t="str">
            <v>Oil and Gas Extraction and Refining</v>
          </cell>
          <cell r="D49" t="str">
            <v>Withdrawn/BB+/BBB-</v>
          </cell>
          <cell r="F49">
            <v>8.4500000000000006E-2</v>
          </cell>
          <cell r="G49" t="str">
            <v>15/02/2029</v>
          </cell>
          <cell r="J49">
            <v>1000</v>
          </cell>
          <cell r="K49" t="str">
            <v>US674599BT13</v>
          </cell>
        </row>
        <row r="50">
          <cell r="B50" t="str">
            <v>Valero Energy</v>
          </cell>
          <cell r="C50" t="str">
            <v>Oil and Gas Extraction and Refining</v>
          </cell>
          <cell r="D50" t="str">
            <v>-/BBB/BBB</v>
          </cell>
          <cell r="F50">
            <v>0.04</v>
          </cell>
          <cell r="G50">
            <v>47122</v>
          </cell>
          <cell r="J50">
            <v>2000</v>
          </cell>
          <cell r="K50" t="str">
            <v>US91913YAW03</v>
          </cell>
        </row>
        <row r="51">
          <cell r="B51" t="str">
            <v>Discovery Communications, LLC</v>
          </cell>
          <cell r="C51" t="str">
            <v>Media</v>
          </cell>
          <cell r="D51" t="str">
            <v>Baa3/BBB-/BBB-</v>
          </cell>
          <cell r="F51">
            <v>4.1250000000000002E-2</v>
          </cell>
          <cell r="G51" t="str">
            <v>15/05/2029</v>
          </cell>
          <cell r="J51">
            <v>2000</v>
          </cell>
          <cell r="K51" t="str">
            <v>US25470DBF50</v>
          </cell>
        </row>
        <row r="52">
          <cell r="B52" t="str">
            <v>Ally Financial</v>
          </cell>
          <cell r="C52" t="str">
            <v>Banks</v>
          </cell>
          <cell r="D52" t="str">
            <v>Baa3/BBB-/BBB-</v>
          </cell>
          <cell r="F52">
            <v>6.9919999999999996E-2</v>
          </cell>
          <cell r="G52" t="str">
            <v>13/06/2029</v>
          </cell>
          <cell r="J52">
            <v>2000</v>
          </cell>
          <cell r="K52" t="str">
            <v>US02005NBT63</v>
          </cell>
        </row>
        <row r="53">
          <cell r="B53" t="str">
            <v>Eastman Chemical</v>
          </cell>
          <cell r="C53" t="str">
            <v>Chemical and petrochemical industry</v>
          </cell>
          <cell r="D53" t="str">
            <v>Baa2/BBB/Withdrawn</v>
          </cell>
          <cell r="F53">
            <v>0.05</v>
          </cell>
          <cell r="G53">
            <v>47126</v>
          </cell>
          <cell r="J53">
            <v>2000</v>
          </cell>
          <cell r="K53" t="str">
            <v>US277432AZ35</v>
          </cell>
        </row>
        <row r="54">
          <cell r="B54" t="str">
            <v>Olin</v>
          </cell>
          <cell r="C54" t="str">
            <v>Chemical and petrochemical industry</v>
          </cell>
          <cell r="D54" t="str">
            <v>-/BB+/BBB-</v>
          </cell>
          <cell r="F54">
            <v>5.6250000000000001E-2</v>
          </cell>
          <cell r="G54">
            <v>47126</v>
          </cell>
          <cell r="J54">
            <v>1000</v>
          </cell>
          <cell r="K54" t="str">
            <v>US680665AL00</v>
          </cell>
        </row>
        <row r="55">
          <cell r="B55" t="str">
            <v>Fluor</v>
          </cell>
          <cell r="C55" t="str">
            <v>Infrastructure and Special Construction</v>
          </cell>
          <cell r="D55" t="str">
            <v>Ba1/BB+/Withdrawn</v>
          </cell>
          <cell r="F55">
            <v>1.125E-2</v>
          </cell>
          <cell r="G55" t="str">
            <v>15/08/2029</v>
          </cell>
          <cell r="J55">
            <v>1000</v>
          </cell>
          <cell r="K55" t="str">
            <v>US343412AJ13</v>
          </cell>
        </row>
        <row r="56">
          <cell r="B56" t="str">
            <v>FMC</v>
          </cell>
          <cell r="C56" t="str">
            <v>Fertilizers</v>
          </cell>
          <cell r="D56" t="str">
            <v>-/BBB-/BBB-</v>
          </cell>
          <cell r="F56">
            <v>3.4500000000000003E-2</v>
          </cell>
          <cell r="G56">
            <v>47128</v>
          </cell>
          <cell r="J56">
            <v>2000</v>
          </cell>
          <cell r="K56" t="str">
            <v>US302491AU91</v>
          </cell>
        </row>
        <row r="57">
          <cell r="B57" t="str">
            <v>Centene</v>
          </cell>
          <cell r="C57" t="str">
            <v>Insurance and Reinsurance</v>
          </cell>
          <cell r="D57" t="str">
            <v>-/-/BBB</v>
          </cell>
          <cell r="F57">
            <v>4.6249999999999999E-2</v>
          </cell>
          <cell r="G57" t="str">
            <v>15/12/2029</v>
          </cell>
          <cell r="J57">
            <v>2000</v>
          </cell>
          <cell r="K57" t="str">
            <v>US15135BAT89</v>
          </cell>
        </row>
        <row r="58">
          <cell r="B58" t="str">
            <v>Methanex</v>
          </cell>
          <cell r="C58" t="str">
            <v>Chemical and petrochemical industry</v>
          </cell>
          <cell r="D58" t="str">
            <v>Ba1/BB/BB+</v>
          </cell>
          <cell r="F58">
            <v>5.2499999999999998E-2</v>
          </cell>
          <cell r="G58" t="str">
            <v>15/12/2029</v>
          </cell>
          <cell r="J58">
            <v>2000</v>
          </cell>
          <cell r="K58" t="str">
            <v>US59151KAL26</v>
          </cell>
        </row>
        <row r="59">
          <cell r="B59" t="str">
            <v>Petrobras</v>
          </cell>
          <cell r="C59" t="str">
            <v>Oil and Gas Extraction and Refining</v>
          </cell>
          <cell r="D59" t="str">
            <v>Ba1/BB/BB</v>
          </cell>
          <cell r="F59">
            <v>5.0930000000000003E-2</v>
          </cell>
          <cell r="G59" t="str">
            <v>15/01/2030</v>
          </cell>
          <cell r="J59">
            <v>2000</v>
          </cell>
          <cell r="K59" t="str">
            <v>US71647NBE85</v>
          </cell>
        </row>
        <row r="60">
          <cell r="B60" t="str">
            <v>EQT</v>
          </cell>
          <cell r="C60" t="str">
            <v>Oil and Gas Extraction and Refining</v>
          </cell>
          <cell r="D60" t="str">
            <v>Withdrawn/BBB-/BBB-</v>
          </cell>
          <cell r="F60">
            <v>7.0000000000000007E-2</v>
          </cell>
          <cell r="G60">
            <v>47485</v>
          </cell>
          <cell r="J60">
            <v>2000</v>
          </cell>
          <cell r="K60" t="str">
            <v>US26884LAG41</v>
          </cell>
        </row>
        <row r="61">
          <cell r="B61" t="str">
            <v>Olin</v>
          </cell>
          <cell r="C61" t="str">
            <v>Chemical and petrochemical industry</v>
          </cell>
          <cell r="D61" t="str">
            <v>-/BB+/BBB-</v>
          </cell>
          <cell r="F61">
            <v>0.05</v>
          </cell>
          <cell r="G61">
            <v>47485</v>
          </cell>
          <cell r="J61">
            <v>1000</v>
          </cell>
          <cell r="K61" t="str">
            <v>US680665AK27</v>
          </cell>
        </row>
        <row r="62">
          <cell r="B62" t="str">
            <v>Tapestry</v>
          </cell>
          <cell r="C62" t="str">
            <v>Specialty Retailers</v>
          </cell>
          <cell r="D62" t="str">
            <v>Baa2/BBB/Withdrawn</v>
          </cell>
          <cell r="F62">
            <v>5.0999999999999997E-2</v>
          </cell>
          <cell r="G62">
            <v>47790</v>
          </cell>
          <cell r="J62">
            <v>2000</v>
          </cell>
          <cell r="K62" t="str">
            <v>US876030AK37</v>
          </cell>
        </row>
        <row r="63">
          <cell r="B63" t="str">
            <v>Discovery Communications, LLC</v>
          </cell>
          <cell r="C63" t="str">
            <v>Media</v>
          </cell>
          <cell r="D63" t="str">
            <v>Baa3/BBB-/BBB-</v>
          </cell>
          <cell r="F63">
            <v>3.6249999999999998E-2</v>
          </cell>
          <cell r="G63" t="str">
            <v>15/05/2030</v>
          </cell>
          <cell r="J63">
            <v>2000</v>
          </cell>
          <cell r="K63" t="str">
            <v>US25470DBJ72</v>
          </cell>
        </row>
        <row r="64">
          <cell r="B64" t="str">
            <v>Viatris</v>
          </cell>
          <cell r="C64" t="str">
            <v>Pharmaceutical Preparation and Biotechnology</v>
          </cell>
          <cell r="D64" t="str">
            <v>-/BB+/BBB</v>
          </cell>
          <cell r="F64">
            <v>2.7E-2</v>
          </cell>
          <cell r="G64" t="str">
            <v>22/06/2030</v>
          </cell>
          <cell r="J64">
            <v>2000</v>
          </cell>
          <cell r="K64" t="str">
            <v>US92556VAD82</v>
          </cell>
        </row>
        <row r="65">
          <cell r="B65" t="str">
            <v>Vale</v>
          </cell>
          <cell r="C65" t="str">
            <v>Ferrous metals</v>
          </cell>
          <cell r="D65" t="str">
            <v>Baa2/BBB-/BBB</v>
          </cell>
          <cell r="F65">
            <v>3.7499999999999999E-2</v>
          </cell>
          <cell r="G65">
            <v>47702</v>
          </cell>
          <cell r="J65">
            <v>2000</v>
          </cell>
          <cell r="K65" t="str">
            <v>US91911TAQ67</v>
          </cell>
        </row>
        <row r="66">
          <cell r="B66" t="str">
            <v>Occidental Petroleum</v>
          </cell>
          <cell r="C66" t="str">
            <v>Oil and Gas Extraction and Refining</v>
          </cell>
          <cell r="D66" t="str">
            <v>Withdrawn/BB+/BBB-</v>
          </cell>
          <cell r="F66">
            <v>8.8749999999999996E-2</v>
          </cell>
          <cell r="G66" t="str">
            <v>15/07/2030</v>
          </cell>
          <cell r="J66">
            <v>2000</v>
          </cell>
          <cell r="K66" t="str">
            <v>US674599EA94</v>
          </cell>
        </row>
        <row r="67">
          <cell r="B67" t="str">
            <v>Embraer</v>
          </cell>
          <cell r="C67" t="str">
            <v>Aircraft Production and Defense</v>
          </cell>
          <cell r="D67" t="str">
            <v>Baa3/BBB-/BBB-</v>
          </cell>
          <cell r="F67">
            <v>7.0000000000000007E-2</v>
          </cell>
          <cell r="G67" t="str">
            <v>28/07/2030</v>
          </cell>
          <cell r="J67">
            <v>200000</v>
          </cell>
          <cell r="K67" t="str">
            <v>USN29505AB53</v>
          </cell>
        </row>
        <row r="68">
          <cell r="B68" t="str">
            <v>Centene</v>
          </cell>
          <cell r="C68" t="str">
            <v>Insurance and Reinsurance</v>
          </cell>
          <cell r="D68" t="str">
            <v>-/-/BBB</v>
          </cell>
          <cell r="F68">
            <v>0.03</v>
          </cell>
          <cell r="G68" t="str">
            <v>15/10/2030</v>
          </cell>
          <cell r="J68">
            <v>2000</v>
          </cell>
          <cell r="K68" t="str">
            <v>US15135BAW19</v>
          </cell>
        </row>
        <row r="69">
          <cell r="B69" t="str">
            <v>Petrobras</v>
          </cell>
          <cell r="C69" t="str">
            <v>Oil and Gas Extraction and Refining</v>
          </cell>
          <cell r="D69" t="str">
            <v>Ba1/BB/BB</v>
          </cell>
          <cell r="F69">
            <v>5.6000000000000001E-2</v>
          </cell>
          <cell r="G69">
            <v>47908</v>
          </cell>
          <cell r="J69">
            <v>2000</v>
          </cell>
          <cell r="K69" t="str">
            <v>US71647NBH17</v>
          </cell>
        </row>
        <row r="70">
          <cell r="B70" t="str">
            <v>Micron Technology</v>
          </cell>
          <cell r="C70" t="str">
            <v>Semiconductors</v>
          </cell>
          <cell r="D70" t="str">
            <v>-/BBB-/BBB</v>
          </cell>
          <cell r="F70">
            <v>5.2999999999999999E-2</v>
          </cell>
          <cell r="G70" t="str">
            <v>15/01/2031</v>
          </cell>
          <cell r="J70">
            <v>2000</v>
          </cell>
          <cell r="K70" t="str">
            <v>US595112CD31</v>
          </cell>
        </row>
        <row r="71">
          <cell r="B71" t="str">
            <v>Hanesbrands</v>
          </cell>
          <cell r="C71" t="str">
            <v>Apparel</v>
          </cell>
          <cell r="D71" t="str">
            <v>-/B+/-</v>
          </cell>
          <cell r="F71">
            <v>0.09</v>
          </cell>
          <cell r="G71" t="str">
            <v>15/02/2031</v>
          </cell>
          <cell r="J71">
            <v>2000</v>
          </cell>
          <cell r="K71" t="str">
            <v>USU24437AG73</v>
          </cell>
        </row>
        <row r="72">
          <cell r="B72" t="str">
            <v>Centene</v>
          </cell>
          <cell r="C72" t="str">
            <v>Insurance and Reinsurance</v>
          </cell>
          <cell r="D72" t="str">
            <v>-/-/BBB</v>
          </cell>
          <cell r="F72">
            <v>2.5000000000000001E-2</v>
          </cell>
          <cell r="G72">
            <v>47851</v>
          </cell>
          <cell r="J72">
            <v>2000</v>
          </cell>
          <cell r="K72" t="str">
            <v>US15135BAX91</v>
          </cell>
        </row>
        <row r="73">
          <cell r="B73" t="str">
            <v>British American Tobacco</v>
          </cell>
          <cell r="C73" t="str">
            <v>Tobacco</v>
          </cell>
          <cell r="D73" t="str">
            <v>Baa1/BBB+/BBB+</v>
          </cell>
          <cell r="F73">
            <v>2.726E-2</v>
          </cell>
          <cell r="G73" t="str">
            <v>25/03/2031</v>
          </cell>
          <cell r="J73">
            <v>2000</v>
          </cell>
          <cell r="K73" t="str">
            <v>US05526DBS36</v>
          </cell>
        </row>
        <row r="74">
          <cell r="B74" t="str">
            <v>Warner Media</v>
          </cell>
          <cell r="C74" t="str">
            <v>Media</v>
          </cell>
          <cell r="D74" t="str">
            <v>Withdrawn/BBB-/BBB-</v>
          </cell>
          <cell r="F74">
            <v>7.6249999999999998E-2</v>
          </cell>
          <cell r="G74" t="str">
            <v>15/04/2031</v>
          </cell>
          <cell r="J74">
            <v>1000</v>
          </cell>
          <cell r="K74" t="str">
            <v>US00184AAC99</v>
          </cell>
        </row>
        <row r="75">
          <cell r="B75" t="str">
            <v>EQT</v>
          </cell>
          <cell r="C75" t="str">
            <v>Oil and Gas Extraction and Refining</v>
          </cell>
          <cell r="D75" t="str">
            <v>Withdrawn/BBB-/BBB-</v>
          </cell>
          <cell r="F75">
            <v>3.6249999999999998E-2</v>
          </cell>
          <cell r="G75" t="str">
            <v>15/05/2031</v>
          </cell>
          <cell r="J75">
            <v>2000</v>
          </cell>
          <cell r="K75" t="str">
            <v>USU2689EAB66</v>
          </cell>
        </row>
        <row r="76">
          <cell r="B76" t="str">
            <v>Whirlpool</v>
          </cell>
          <cell r="C76" t="str">
            <v>Domestic Appliances</v>
          </cell>
          <cell r="D76" t="str">
            <v>Ba1/BB+/BB+</v>
          </cell>
          <cell r="F76">
            <v>2.4E-2</v>
          </cell>
          <cell r="G76" t="str">
            <v>15/05/2031</v>
          </cell>
          <cell r="J76">
            <v>2000</v>
          </cell>
          <cell r="K76" t="str">
            <v>US963320AY28</v>
          </cell>
        </row>
        <row r="77">
          <cell r="B77" t="str">
            <v>Occidental Petroleum</v>
          </cell>
          <cell r="C77" t="str">
            <v>Oil and Gas Extraction and Refining</v>
          </cell>
          <cell r="D77" t="str">
            <v>Withdrawn/BB+/BBB-</v>
          </cell>
          <cell r="F77">
            <v>7.8750000000000001E-2</v>
          </cell>
          <cell r="G77" t="str">
            <v>15/09/2031</v>
          </cell>
          <cell r="J77">
            <v>1000</v>
          </cell>
          <cell r="K77" t="str">
            <v>US674599DE26</v>
          </cell>
        </row>
        <row r="78">
          <cell r="B78" t="str">
            <v>Occidental Petroleum</v>
          </cell>
          <cell r="C78" t="str">
            <v>Oil and Gas Extraction and Refining</v>
          </cell>
          <cell r="D78" t="str">
            <v>Withdrawn/BB+/BBB-</v>
          </cell>
          <cell r="F78">
            <v>5.3749999999999999E-2</v>
          </cell>
          <cell r="G78">
            <v>48214</v>
          </cell>
          <cell r="J78">
            <v>2000</v>
          </cell>
          <cell r="K78" t="str">
            <v>US674599EK76</v>
          </cell>
        </row>
        <row r="79">
          <cell r="B79" t="str">
            <v>Falabella</v>
          </cell>
          <cell r="C79" t="str">
            <v>Specialty Retailers</v>
          </cell>
          <cell r="D79" t="str">
            <v>-/BB+/BB+</v>
          </cell>
          <cell r="F79">
            <v>3.3750000000000002E-2</v>
          </cell>
          <cell r="G79" t="str">
            <v>15/01/2032</v>
          </cell>
          <cell r="J79">
            <v>200000</v>
          </cell>
          <cell r="K79" t="str">
            <v>USP3984LAA81</v>
          </cell>
        </row>
        <row r="80">
          <cell r="B80" t="str">
            <v>Methanex US Operations</v>
          </cell>
          <cell r="C80" t="str">
            <v>Food and Beverage Production</v>
          </cell>
          <cell r="D80" t="str">
            <v>-/-/BB+</v>
          </cell>
          <cell r="F80">
            <v>6.25E-2</v>
          </cell>
          <cell r="G80" t="str">
            <v>15/03/2032</v>
          </cell>
          <cell r="J80">
            <v>2000</v>
          </cell>
          <cell r="K80" t="str">
            <v>USU59224AA07</v>
          </cell>
        </row>
        <row r="81">
          <cell r="B81" t="str">
            <v>Tapestry</v>
          </cell>
          <cell r="C81" t="str">
            <v>Specialty Retailers</v>
          </cell>
          <cell r="D81" t="str">
            <v>Baa2/BBB/Withdrawn</v>
          </cell>
          <cell r="F81">
            <v>3.0499999999999999E-2</v>
          </cell>
          <cell r="G81" t="str">
            <v>15/03/2032</v>
          </cell>
          <cell r="J81">
            <v>2000</v>
          </cell>
          <cell r="K81" t="str">
            <v>US876030AA54</v>
          </cell>
        </row>
        <row r="82">
          <cell r="B82" t="str">
            <v>British American Tobacco</v>
          </cell>
          <cell r="C82" t="str">
            <v>Tobacco</v>
          </cell>
          <cell r="D82" t="str">
            <v>Baa1/BBB+/BBB+</v>
          </cell>
          <cell r="F82">
            <v>4.7419999999999997E-2</v>
          </cell>
          <cell r="G82" t="str">
            <v>16/03/2032</v>
          </cell>
          <cell r="J82">
            <v>2000</v>
          </cell>
          <cell r="K82" t="str">
            <v>US05526DBW48</v>
          </cell>
        </row>
        <row r="83">
          <cell r="B83" t="str">
            <v>Warner Media</v>
          </cell>
          <cell r="C83" t="str">
            <v>Media</v>
          </cell>
          <cell r="D83" t="str">
            <v>Withdrawn/BBB-/BBB-</v>
          </cell>
          <cell r="F83">
            <v>7.6999999999999999E-2</v>
          </cell>
          <cell r="G83">
            <v>48218</v>
          </cell>
          <cell r="J83">
            <v>1000</v>
          </cell>
          <cell r="K83" t="str">
            <v>US00184AAG04</v>
          </cell>
        </row>
        <row r="84">
          <cell r="B84" t="str">
            <v>Whirlpool</v>
          </cell>
          <cell r="C84" t="str">
            <v>Domestic Appliances</v>
          </cell>
          <cell r="D84" t="str">
            <v>Ba1/BB+/BB+</v>
          </cell>
          <cell r="F84">
            <v>4.7E-2</v>
          </cell>
          <cell r="G84" t="str">
            <v>14/05/2032</v>
          </cell>
          <cell r="J84">
            <v>2000</v>
          </cell>
          <cell r="K84" t="str">
            <v>US963320AZ92</v>
          </cell>
        </row>
        <row r="85">
          <cell r="B85" t="str">
            <v>Micron Technology</v>
          </cell>
          <cell r="C85" t="str">
            <v>Semiconductors</v>
          </cell>
          <cell r="D85" t="str">
            <v>-/BBB-/BBB</v>
          </cell>
          <cell r="F85">
            <v>5.6500000000000002E-2</v>
          </cell>
          <cell r="G85">
            <v>48224</v>
          </cell>
          <cell r="J85">
            <v>2000</v>
          </cell>
          <cell r="K85" t="str">
            <v>US595112CG61</v>
          </cell>
        </row>
        <row r="86">
          <cell r="B86" t="str">
            <v>Mercer International</v>
          </cell>
          <cell r="C86" t="str">
            <v>Pulp, Paper and Wood</v>
          </cell>
          <cell r="D86" t="str">
            <v>B2/B/B+</v>
          </cell>
          <cell r="G86" t="str">
            <v>15/01/2026</v>
          </cell>
          <cell r="J86">
            <v>2000</v>
          </cell>
          <cell r="K86" t="str">
            <v>US588056AW17</v>
          </cell>
        </row>
        <row r="87">
          <cell r="B87" t="str">
            <v>Hanesbrands</v>
          </cell>
          <cell r="C87" t="str">
            <v>Apparel</v>
          </cell>
          <cell r="D87" t="str">
            <v>-/B+/-</v>
          </cell>
          <cell r="G87" t="str">
            <v>15/05/2026</v>
          </cell>
          <cell r="J87">
            <v>2000</v>
          </cell>
          <cell r="K87" t="str">
            <v>USU24437AE26</v>
          </cell>
        </row>
        <row r="88">
          <cell r="B88" t="str">
            <v>Pampa Energia</v>
          </cell>
          <cell r="C88" t="str">
            <v>Power</v>
          </cell>
          <cell r="D88" t="str">
            <v>Caa1/B-/B-</v>
          </cell>
          <cell r="G88" t="str">
            <v>24/01/2027</v>
          </cell>
          <cell r="J88">
            <v>150000</v>
          </cell>
          <cell r="K88" t="str">
            <v>USP7464EAA49</v>
          </cell>
        </row>
        <row r="89">
          <cell r="B89" t="str">
            <v>Embraer</v>
          </cell>
          <cell r="C89" t="str">
            <v>Aircraft Production and Defense</v>
          </cell>
          <cell r="D89" t="str">
            <v>Baa3/BBB-/BBB-</v>
          </cell>
          <cell r="G89">
            <v>46389</v>
          </cell>
          <cell r="J89">
            <v>2000</v>
          </cell>
          <cell r="K89" t="str">
            <v>US29082HAB87</v>
          </cell>
        </row>
        <row r="90">
          <cell r="B90" t="str">
            <v>Olin</v>
          </cell>
          <cell r="C90" t="str">
            <v>Chemical and petrochemical industry</v>
          </cell>
          <cell r="D90" t="str">
            <v>-/BB+/BBB-</v>
          </cell>
          <cell r="G90" t="str">
            <v>15/09/2027</v>
          </cell>
          <cell r="J90">
            <v>1000</v>
          </cell>
          <cell r="K90" t="str">
            <v>US680665AJ53</v>
          </cell>
        </row>
        <row r="91">
          <cell r="B91" t="str">
            <v>Tapestry</v>
          </cell>
          <cell r="C91" t="str">
            <v>Specialty Retailers</v>
          </cell>
          <cell r="D91" t="str">
            <v>Baa2/BBB/Withdrawn</v>
          </cell>
          <cell r="G91" t="str">
            <v>27/11/2028</v>
          </cell>
          <cell r="J91">
            <v>2000</v>
          </cell>
          <cell r="K91" t="str">
            <v>US876030AD93</v>
          </cell>
        </row>
        <row r="92">
          <cell r="B92" t="str">
            <v>Tapestry</v>
          </cell>
          <cell r="C92" t="str">
            <v>Specialty Retailers</v>
          </cell>
          <cell r="D92" t="str">
            <v>Baa2/BBB/Withdrawn</v>
          </cell>
          <cell r="G92" t="str">
            <v>27/11/2030</v>
          </cell>
          <cell r="J92">
            <v>2000</v>
          </cell>
          <cell r="K92" t="str">
            <v>US876030AE76</v>
          </cell>
        </row>
        <row r="93">
          <cell r="B93" t="str">
            <v>Aercap Holdings</v>
          </cell>
          <cell r="C93" t="str">
            <v>Leasing and Rental</v>
          </cell>
          <cell r="D93" t="str">
            <v>-/BBB+/BBB+</v>
          </cell>
          <cell r="G93" t="str">
            <v>29/10/2024</v>
          </cell>
          <cell r="J93">
            <v>150000</v>
          </cell>
          <cell r="K93" t="str">
            <v>US00774MBB00</v>
          </cell>
        </row>
        <row r="94">
          <cell r="B94" t="str">
            <v>Warner Bros. Discovery</v>
          </cell>
          <cell r="C94" t="str">
            <v>Media</v>
          </cell>
          <cell r="D94" t="str">
            <v>-/BBB-/BBB-</v>
          </cell>
          <cell r="G94" t="str">
            <v>15/11/2024</v>
          </cell>
          <cell r="J94">
            <v>2000</v>
          </cell>
          <cell r="K94" t="str">
            <v>US811065AC57</v>
          </cell>
        </row>
        <row r="95">
          <cell r="B95" t="str">
            <v>Fluor</v>
          </cell>
          <cell r="C95" t="str">
            <v>Infrastructure and Special Construction</v>
          </cell>
          <cell r="D95" t="str">
            <v>Ba1/BB+/Withdrawn</v>
          </cell>
          <cell r="G95" t="str">
            <v>15/12/2024</v>
          </cell>
          <cell r="J95">
            <v>2000</v>
          </cell>
          <cell r="K95" t="str">
            <v>US343412AC69</v>
          </cell>
        </row>
        <row r="96">
          <cell r="B96" t="str">
            <v>Falabella</v>
          </cell>
          <cell r="C96" t="str">
            <v>Specialty Retailers</v>
          </cell>
          <cell r="D96" t="str">
            <v>-/BB+/BB+</v>
          </cell>
          <cell r="G96" t="str">
            <v>27/01/2025</v>
          </cell>
          <cell r="J96">
            <v>200000</v>
          </cell>
          <cell r="K96" t="str">
            <v>USP82290AG51</v>
          </cell>
        </row>
        <row r="97">
          <cell r="B97" t="str">
            <v>Eastman Chemical</v>
          </cell>
          <cell r="C97" t="str">
            <v>Chemical and petrochemical industry</v>
          </cell>
          <cell r="D97" t="str">
            <v>Baa2/BBB/Withdrawn</v>
          </cell>
          <cell r="G97" t="str">
            <v>15/03/2025</v>
          </cell>
          <cell r="J97">
            <v>2000</v>
          </cell>
          <cell r="K97" t="str">
            <v>US277432AR19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29528-1208-47D6-904C-61B41F15758C}" name="Bonos3" displayName="Bonos3" ref="A1:P72" totalsRowShown="0" headerRowBorderDxfId="16" tableBorderDxfId="17">
  <autoFilter ref="A1:P72" xr:uid="{F9929528-1208-47D6-904C-61B41F15758C}"/>
  <tableColumns count="16">
    <tableColumn id="1" xr3:uid="{2AFCD4C4-5B9C-440A-9683-35FF11067181}" name="Issuer" dataDxfId="15"/>
    <tableColumn id="2" xr3:uid="{5C55692A-D8F0-41F9-9F66-0666D68A9ABF}" name="Industry" dataDxfId="14"/>
    <tableColumn id="3" xr3:uid="{F1C64926-17FF-455B-AAC3-F27FBB15B9BC}" name="Guarantor/Organization" dataDxfId="13"/>
    <tableColumn id="4" xr3:uid="{AD770398-EFFC-4459-B3A5-1E0BD5A40F05}" name="IG - HY" dataDxfId="12"/>
    <tableColumn id="5" xr3:uid="{517E0FA1-FB77-43EF-9252-4C47F0184D4E}" name="Rating" dataDxfId="11"/>
    <tableColumn id="6" xr3:uid="{22CBE1BC-7885-451C-869B-CCD041D42F18}" name="Coupon %" dataDxfId="10"/>
    <tableColumn id="7" xr3:uid="{39F8CD2C-0C47-4F14-B173-0CF32C2C5AC8}" name="Maturity" dataDxfId="9"/>
    <tableColumn id="8" xr3:uid="{0CEC3680-E808-41F4-A878-27D6F8507BA9}" name="Year" dataDxfId="8"/>
    <tableColumn id="20" xr3:uid="{DF407AB1-75BC-418E-BDF1-6D1121F02A3A}" name="Price" dataDxfId="7"/>
    <tableColumn id="9" xr3:uid="{A384B870-24EE-4569-810D-C0F88E32F8DC}" name="YTW %" dataDxfId="6"/>
    <tableColumn id="21" xr3:uid="{C8875639-D318-48B8-9F02-B7B7D622D498}" name="Gspread" dataDxfId="5"/>
    <tableColumn id="10" xr3:uid="{649422D8-F09A-49AD-9529-4F730B728D67}" name="Prev month_x000a_YTW%" dataDxfId="4"/>
    <tableColumn id="16" xr3:uid="{7C91DDB0-4115-49B6-A0DA-292DA98FEF04}" name="Minimum Settlement" dataDxfId="3" dataCellStyle="Millares 3"/>
    <tableColumn id="17" xr3:uid="{A4070786-5EAC-40CB-848C-778505997A11}" name="ISIN" dataDxfId="2"/>
    <tableColumn id="18" xr3:uid="{7B2144E0-E5F2-4A2B-8D7B-1695805B7A02}" name="Outstanding_x000a_US$" dataDxfId="1" dataCellStyle="Millares 3"/>
    <tableColumn id="22" xr3:uid="{4E6F3B99-052C-4999-8442-C6D182EEDFED}" name="Decisión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bonds.es/bonds/420737/" TargetMode="External"/><Relationship Id="rId21" Type="http://schemas.openxmlformats.org/officeDocument/2006/relationships/hyperlink" Target="https://cbonds.es/bonds/1703921/" TargetMode="External"/><Relationship Id="rId42" Type="http://schemas.openxmlformats.org/officeDocument/2006/relationships/hyperlink" Target="https://cbonds.es/bonds/734109/" TargetMode="External"/><Relationship Id="rId47" Type="http://schemas.openxmlformats.org/officeDocument/2006/relationships/hyperlink" Target="https://cbonds.es/bonds/1157131/" TargetMode="External"/><Relationship Id="rId63" Type="http://schemas.openxmlformats.org/officeDocument/2006/relationships/hyperlink" Target="https://cbonds.es/bonds/931369/" TargetMode="External"/><Relationship Id="rId68" Type="http://schemas.openxmlformats.org/officeDocument/2006/relationships/hyperlink" Target="https://cbonds.es/bonds/1100655/" TargetMode="External"/><Relationship Id="rId7" Type="http://schemas.openxmlformats.org/officeDocument/2006/relationships/hyperlink" Target="https://cbonds.es/bonds/472665/" TargetMode="External"/><Relationship Id="rId71" Type="http://schemas.openxmlformats.org/officeDocument/2006/relationships/hyperlink" Target="https://cbonds.es/bonds/2086847/" TargetMode="External"/><Relationship Id="rId2" Type="http://schemas.openxmlformats.org/officeDocument/2006/relationships/hyperlink" Target="https://cbonds.es/bonds/1667863/" TargetMode="External"/><Relationship Id="rId16" Type="http://schemas.openxmlformats.org/officeDocument/2006/relationships/hyperlink" Target="https://cbonds.es/bonds/1492315/" TargetMode="External"/><Relationship Id="rId29" Type="http://schemas.openxmlformats.org/officeDocument/2006/relationships/hyperlink" Target="https://cbonds.es/bonds/1789921/" TargetMode="External"/><Relationship Id="rId11" Type="http://schemas.openxmlformats.org/officeDocument/2006/relationships/hyperlink" Target="https://cbonds.es/bonds/769589/" TargetMode="External"/><Relationship Id="rId24" Type="http://schemas.openxmlformats.org/officeDocument/2006/relationships/hyperlink" Target="https://cbonds.es/bonds/1315003/" TargetMode="External"/><Relationship Id="rId32" Type="http://schemas.openxmlformats.org/officeDocument/2006/relationships/hyperlink" Target="https://cbonds.es/bonds/790949/" TargetMode="External"/><Relationship Id="rId37" Type="http://schemas.openxmlformats.org/officeDocument/2006/relationships/hyperlink" Target="https://cbonds.es/bonds/628541/" TargetMode="External"/><Relationship Id="rId40" Type="http://schemas.openxmlformats.org/officeDocument/2006/relationships/hyperlink" Target="https://cbonds.es/bonds/1779587/" TargetMode="External"/><Relationship Id="rId45" Type="http://schemas.openxmlformats.org/officeDocument/2006/relationships/hyperlink" Target="https://cbonds.es/bonds/996245/" TargetMode="External"/><Relationship Id="rId53" Type="http://schemas.openxmlformats.org/officeDocument/2006/relationships/hyperlink" Target="https://cbonds.es/bonds/1187657/" TargetMode="External"/><Relationship Id="rId58" Type="http://schemas.openxmlformats.org/officeDocument/2006/relationships/hyperlink" Target="https://cbonds.es/bonds/1984455/" TargetMode="External"/><Relationship Id="rId66" Type="http://schemas.openxmlformats.org/officeDocument/2006/relationships/hyperlink" Target="https://cbonds.es/bonds/845997/" TargetMode="External"/><Relationship Id="rId5" Type="http://schemas.openxmlformats.org/officeDocument/2006/relationships/hyperlink" Target="https://cbonds.es/bonds/1166809/" TargetMode="External"/><Relationship Id="rId61" Type="http://schemas.openxmlformats.org/officeDocument/2006/relationships/hyperlink" Target="https://cbonds.es/bonds/55855/" TargetMode="External"/><Relationship Id="rId19" Type="http://schemas.openxmlformats.org/officeDocument/2006/relationships/hyperlink" Target="https://cbonds.es/bonds/608013/" TargetMode="External"/><Relationship Id="rId14" Type="http://schemas.openxmlformats.org/officeDocument/2006/relationships/hyperlink" Target="https://cbonds.es/bonds/772949/" TargetMode="External"/><Relationship Id="rId22" Type="http://schemas.openxmlformats.org/officeDocument/2006/relationships/hyperlink" Target="https://cbonds.es/bonds/957547/" TargetMode="External"/><Relationship Id="rId27" Type="http://schemas.openxmlformats.org/officeDocument/2006/relationships/hyperlink" Target="https://cbonds.es/bonds/1949439/" TargetMode="External"/><Relationship Id="rId30" Type="http://schemas.openxmlformats.org/officeDocument/2006/relationships/hyperlink" Target="https://cbonds.es/bonds/669755/" TargetMode="External"/><Relationship Id="rId35" Type="http://schemas.openxmlformats.org/officeDocument/2006/relationships/hyperlink" Target="https://cbonds.es/bonds/1498287/" TargetMode="External"/><Relationship Id="rId43" Type="http://schemas.openxmlformats.org/officeDocument/2006/relationships/hyperlink" Target="https://cbonds.es/bonds/794981/" TargetMode="External"/><Relationship Id="rId48" Type="http://schemas.openxmlformats.org/officeDocument/2006/relationships/hyperlink" Target="https://cbonds.es/bonds/1881513/" TargetMode="External"/><Relationship Id="rId56" Type="http://schemas.openxmlformats.org/officeDocument/2006/relationships/hyperlink" Target="https://cbonds.es/bonds/1794165/" TargetMode="External"/><Relationship Id="rId64" Type="http://schemas.openxmlformats.org/officeDocument/2006/relationships/hyperlink" Target="https://cbonds.es/bonds/1271609/" TargetMode="External"/><Relationship Id="rId69" Type="http://schemas.openxmlformats.org/officeDocument/2006/relationships/hyperlink" Target="https://cbonds.es/bonds/1048259/" TargetMode="External"/><Relationship Id="rId8" Type="http://schemas.openxmlformats.org/officeDocument/2006/relationships/hyperlink" Target="https://cbonds.es/bonds/1163671/" TargetMode="External"/><Relationship Id="rId51" Type="http://schemas.openxmlformats.org/officeDocument/2006/relationships/hyperlink" Target="https://cbonds.es/bonds/1755883/" TargetMode="External"/><Relationship Id="rId72" Type="http://schemas.openxmlformats.org/officeDocument/2006/relationships/table" Target="../tables/table1.xml"/><Relationship Id="rId3" Type="http://schemas.openxmlformats.org/officeDocument/2006/relationships/hyperlink" Target="https://cbonds.es/bonds/808185/" TargetMode="External"/><Relationship Id="rId12" Type="http://schemas.openxmlformats.org/officeDocument/2006/relationships/hyperlink" Target="https://cbonds.es/bonds/364505/" TargetMode="External"/><Relationship Id="rId17" Type="http://schemas.openxmlformats.org/officeDocument/2006/relationships/hyperlink" Target="https://cbonds.es/bonds/1478383/" TargetMode="External"/><Relationship Id="rId25" Type="http://schemas.openxmlformats.org/officeDocument/2006/relationships/hyperlink" Target="https://cbonds.es/bonds/738225/" TargetMode="External"/><Relationship Id="rId33" Type="http://schemas.openxmlformats.org/officeDocument/2006/relationships/hyperlink" Target="https://cbonds.es/bonds/791817/" TargetMode="External"/><Relationship Id="rId38" Type="http://schemas.openxmlformats.org/officeDocument/2006/relationships/hyperlink" Target="https://cbonds.es/bonds/803987/" TargetMode="External"/><Relationship Id="rId46" Type="http://schemas.openxmlformats.org/officeDocument/2006/relationships/hyperlink" Target="https://cbonds.es/bonds/611487/" TargetMode="External"/><Relationship Id="rId59" Type="http://schemas.openxmlformats.org/officeDocument/2006/relationships/hyperlink" Target="https://cbonds.es/bonds/1911737/" TargetMode="External"/><Relationship Id="rId67" Type="http://schemas.openxmlformats.org/officeDocument/2006/relationships/hyperlink" Target="https://cbonds.es/bonds/856277/" TargetMode="External"/><Relationship Id="rId20" Type="http://schemas.openxmlformats.org/officeDocument/2006/relationships/hyperlink" Target="https://cbonds.es/bonds/602945/" TargetMode="External"/><Relationship Id="rId41" Type="http://schemas.openxmlformats.org/officeDocument/2006/relationships/hyperlink" Target="https://cbonds.es/bonds/1601395/" TargetMode="External"/><Relationship Id="rId54" Type="http://schemas.openxmlformats.org/officeDocument/2006/relationships/hyperlink" Target="https://cbonds.es/bonds/1843427/" TargetMode="External"/><Relationship Id="rId62" Type="http://schemas.openxmlformats.org/officeDocument/2006/relationships/hyperlink" Target="https://cbonds.es/bonds/1500493/" TargetMode="External"/><Relationship Id="rId70" Type="http://schemas.openxmlformats.org/officeDocument/2006/relationships/hyperlink" Target="https://cbonds.com/bonds/1701869/" TargetMode="External"/><Relationship Id="rId1" Type="http://schemas.openxmlformats.org/officeDocument/2006/relationships/hyperlink" Target="https://cbonds.es/bonds/1162051/" TargetMode="External"/><Relationship Id="rId6" Type="http://schemas.openxmlformats.org/officeDocument/2006/relationships/hyperlink" Target="https://cbonds.es/bonds/376089/" TargetMode="External"/><Relationship Id="rId15" Type="http://schemas.openxmlformats.org/officeDocument/2006/relationships/hyperlink" Target="https://cbonds.es/bonds/1549041/" TargetMode="External"/><Relationship Id="rId23" Type="http://schemas.openxmlformats.org/officeDocument/2006/relationships/hyperlink" Target="https://cbonds.es/bonds/1664217/" TargetMode="External"/><Relationship Id="rId28" Type="http://schemas.openxmlformats.org/officeDocument/2006/relationships/hyperlink" Target="https://cbonds.es/bonds/1860779/" TargetMode="External"/><Relationship Id="rId36" Type="http://schemas.openxmlformats.org/officeDocument/2006/relationships/hyperlink" Target="https://cbonds.es/bonds/753615/" TargetMode="External"/><Relationship Id="rId49" Type="http://schemas.openxmlformats.org/officeDocument/2006/relationships/hyperlink" Target="https://cbonds.es/bonds/1177399/" TargetMode="External"/><Relationship Id="rId57" Type="http://schemas.openxmlformats.org/officeDocument/2006/relationships/hyperlink" Target="https://cbonds.es/bonds/1762801/" TargetMode="External"/><Relationship Id="rId10" Type="http://schemas.openxmlformats.org/officeDocument/2006/relationships/hyperlink" Target="https://cbonds.es/bonds/454235/" TargetMode="External"/><Relationship Id="rId31" Type="http://schemas.openxmlformats.org/officeDocument/2006/relationships/hyperlink" Target="https://cbonds.es/bonds/1223805/" TargetMode="External"/><Relationship Id="rId44" Type="http://schemas.openxmlformats.org/officeDocument/2006/relationships/hyperlink" Target="https://cbonds.es/bonds/1044529/" TargetMode="External"/><Relationship Id="rId52" Type="http://schemas.openxmlformats.org/officeDocument/2006/relationships/hyperlink" Target="https://cbonds.es/bonds/1227431/" TargetMode="External"/><Relationship Id="rId60" Type="http://schemas.openxmlformats.org/officeDocument/2006/relationships/hyperlink" Target="https://cbonds.es/bonds/1756543/" TargetMode="External"/><Relationship Id="rId65" Type="http://schemas.openxmlformats.org/officeDocument/2006/relationships/hyperlink" Target="https://cbonds.com/bonds/738111/" TargetMode="External"/><Relationship Id="rId4" Type="http://schemas.openxmlformats.org/officeDocument/2006/relationships/hyperlink" Target="https://cbonds.es/bonds/330343/" TargetMode="External"/><Relationship Id="rId9" Type="http://schemas.openxmlformats.org/officeDocument/2006/relationships/hyperlink" Target="https://cbonds.es/bonds/456955/" TargetMode="External"/><Relationship Id="rId13" Type="http://schemas.openxmlformats.org/officeDocument/2006/relationships/hyperlink" Target="https://cbonds.es/bonds/56381/" TargetMode="External"/><Relationship Id="rId18" Type="http://schemas.openxmlformats.org/officeDocument/2006/relationships/hyperlink" Target="https://cbonds.es/bonds/569091/" TargetMode="External"/><Relationship Id="rId39" Type="http://schemas.openxmlformats.org/officeDocument/2006/relationships/hyperlink" Target="https://cbonds.es/bonds/1881783/" TargetMode="External"/><Relationship Id="rId34" Type="http://schemas.openxmlformats.org/officeDocument/2006/relationships/hyperlink" Target="https://cbonds.es/bonds/1166811/" TargetMode="External"/><Relationship Id="rId50" Type="http://schemas.openxmlformats.org/officeDocument/2006/relationships/hyperlink" Target="https://cbonds.es/bonds/1701867/" TargetMode="External"/><Relationship Id="rId55" Type="http://schemas.openxmlformats.org/officeDocument/2006/relationships/hyperlink" Target="https://cbonds.es/bonds/19419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F2F4-11C0-433C-9540-66AEF48816EC}">
  <dimension ref="A1:P72"/>
  <sheetViews>
    <sheetView tabSelected="1" zoomScale="85" zoomScaleNormal="85" workbookViewId="0">
      <selection activeCell="G13" sqref="G13"/>
    </sheetView>
  </sheetViews>
  <sheetFormatPr baseColWidth="10" defaultRowHeight="15"/>
  <cols>
    <col min="2" max="2" width="25.7109375" customWidth="1"/>
    <col min="5" max="5" width="11.42578125" style="1"/>
    <col min="6" max="6" width="11.42578125" style="2"/>
    <col min="8" max="9" width="11.42578125" style="1"/>
  </cols>
  <sheetData>
    <row r="1" spans="1:16" ht="48" thickBot="1">
      <c r="A1" s="3" t="s">
        <v>141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5" t="s">
        <v>142</v>
      </c>
      <c r="J1" s="4" t="s">
        <v>7</v>
      </c>
      <c r="K1" s="4" t="s">
        <v>143</v>
      </c>
      <c r="L1" s="5" t="s">
        <v>146</v>
      </c>
      <c r="M1" s="5" t="s">
        <v>8</v>
      </c>
      <c r="N1" s="4" t="s">
        <v>9</v>
      </c>
      <c r="O1" s="6" t="s">
        <v>147</v>
      </c>
      <c r="P1" s="7" t="s">
        <v>160</v>
      </c>
    </row>
    <row r="2" spans="1:16">
      <c r="A2" s="8" t="s">
        <v>144</v>
      </c>
      <c r="B2" s="9" t="s">
        <v>10</v>
      </c>
      <c r="C2" s="9" t="s">
        <v>11</v>
      </c>
      <c r="D2" s="9" t="s">
        <v>12</v>
      </c>
      <c r="E2" s="9" t="s">
        <v>13</v>
      </c>
      <c r="F2" s="10">
        <v>2.4500000000000001E-2</v>
      </c>
      <c r="G2" s="11" t="s">
        <v>148</v>
      </c>
      <c r="H2" s="12">
        <v>2026</v>
      </c>
      <c r="I2" s="13">
        <v>99.45</v>
      </c>
      <c r="J2" s="13">
        <v>4.2832431600931002</v>
      </c>
      <c r="K2" s="13">
        <v>23.380165207560001</v>
      </c>
      <c r="L2" s="13">
        <v>4.1399328878331998</v>
      </c>
      <c r="M2" s="14">
        <v>150000</v>
      </c>
      <c r="N2" s="15" t="s">
        <v>14</v>
      </c>
      <c r="O2" s="16">
        <v>3750000000</v>
      </c>
      <c r="P2" s="17" t="s">
        <v>161</v>
      </c>
    </row>
    <row r="3" spans="1:16">
      <c r="A3" s="8" t="s">
        <v>145</v>
      </c>
      <c r="B3" s="9" t="s">
        <v>15</v>
      </c>
      <c r="C3" s="9" t="s">
        <v>16</v>
      </c>
      <c r="D3" s="9" t="s">
        <v>12</v>
      </c>
      <c r="E3" s="9" t="s">
        <v>17</v>
      </c>
      <c r="F3" s="10">
        <v>5.8500000000000003E-2</v>
      </c>
      <c r="G3" s="11">
        <v>46524</v>
      </c>
      <c r="H3" s="12">
        <v>2027</v>
      </c>
      <c r="I3" s="13">
        <v>100.705</v>
      </c>
      <c r="J3" s="13">
        <v>5.0570708139880001</v>
      </c>
      <c r="K3" s="13">
        <v>100.39198362429001</v>
      </c>
      <c r="L3" s="13">
        <v>5.0021200493173996</v>
      </c>
      <c r="M3" s="14">
        <v>2000</v>
      </c>
      <c r="N3" s="15" t="s">
        <v>18</v>
      </c>
      <c r="O3" s="16">
        <v>1500000000</v>
      </c>
      <c r="P3" s="17" t="s">
        <v>161</v>
      </c>
    </row>
    <row r="4" spans="1:16">
      <c r="A4" s="8" t="s">
        <v>144</v>
      </c>
      <c r="B4" s="9" t="s">
        <v>10</v>
      </c>
      <c r="C4" s="9" t="s">
        <v>11</v>
      </c>
      <c r="D4" s="9" t="s">
        <v>12</v>
      </c>
      <c r="E4" s="9" t="s">
        <v>13</v>
      </c>
      <c r="F4" s="10">
        <v>4.6249999999999999E-2</v>
      </c>
      <c r="G4" s="11">
        <v>46675</v>
      </c>
      <c r="H4" s="12">
        <v>2027</v>
      </c>
      <c r="I4" s="13">
        <v>100.02975000000001</v>
      </c>
      <c r="J4" s="13">
        <v>4.6481210859009998</v>
      </c>
      <c r="K4" s="13">
        <v>58.889795147146003</v>
      </c>
      <c r="L4" s="13">
        <v>4.5733580557196003</v>
      </c>
      <c r="M4" s="14">
        <v>150000</v>
      </c>
      <c r="N4" s="15" t="s">
        <v>19</v>
      </c>
      <c r="O4" s="16">
        <v>600000000</v>
      </c>
      <c r="P4" s="17" t="s">
        <v>161</v>
      </c>
    </row>
    <row r="5" spans="1:16">
      <c r="A5" s="8" t="str">
        <f>+_xlfn.XLOOKUP($N5,'[1]Cbonds export 05.20.2025'!$K:$K,'[1]Cbonds export 05.20.2025'!$B:$B,1,0,1)</f>
        <v>Sirius XM Holdings</v>
      </c>
      <c r="B5" s="9" t="str">
        <f>+_xlfn.XLOOKUP($N5,'[1]Cbonds export 05.20.2025'!$K:$K,'[1]Cbonds export 05.20.2025'!$C:$C,1,0,1)</f>
        <v>Media</v>
      </c>
      <c r="C5" s="9" t="s">
        <v>20</v>
      </c>
      <c r="D5" s="9" t="s">
        <v>21</v>
      </c>
      <c r="E5" s="9" t="str">
        <f>+_xlfn.XLOOKUP($N5,'[1]Cbonds export 05.20.2025'!$K:$K,'[1]Cbonds export 05.20.2025'!$D:$D,1,0,1)</f>
        <v>-/BB+/-</v>
      </c>
      <c r="F5" s="10">
        <f>+_xlfn.XLOOKUP($N5,'[1]Cbonds export 05.20.2025'!$K:$K,'[1]Cbonds export 05.20.2025'!$F:$F,1,0,1)</f>
        <v>0.05</v>
      </c>
      <c r="G5" s="11">
        <f>+_xlfn.XLOOKUP($N5,'[1]Cbonds export 05.20.2025'!$K:$K,'[1]Cbonds export 05.20.2025'!$G:$G,1,0,1)</f>
        <v>46395</v>
      </c>
      <c r="H5" s="12">
        <f>YEAR(G5)</f>
        <v>2027</v>
      </c>
      <c r="I5" s="13">
        <v>99.8125</v>
      </c>
      <c r="J5" s="13">
        <v>5.2465634689330001</v>
      </c>
      <c r="K5" s="13">
        <v>119.09045695966999</v>
      </c>
      <c r="L5" s="13">
        <v>5.2345351627822003</v>
      </c>
      <c r="M5" s="14">
        <f>+_xlfn.XLOOKUP($N5,'[1]Cbonds export 05.20.2025'!$K:$K,'[1]Cbonds export 05.20.2025'!$J:$J,1,0,1)</f>
        <v>2000</v>
      </c>
      <c r="N5" s="18" t="s">
        <v>22</v>
      </c>
      <c r="O5" s="16">
        <v>1500000000</v>
      </c>
      <c r="P5" s="17" t="s">
        <v>161</v>
      </c>
    </row>
    <row r="6" spans="1:16">
      <c r="A6" s="19" t="str">
        <f>+_xlfn.XLOOKUP($N6,'[1]Cbonds export 05.20.2025'!$K:$K,'[1]Cbonds export 05.20.2025'!$B:$B,1,0,1)</f>
        <v>Viatris</v>
      </c>
      <c r="B6" s="20" t="str">
        <f>+_xlfn.XLOOKUP($N6,'[1]Cbonds export 05.20.2025'!$K:$K,'[1]Cbonds export 05.20.2025'!$C:$C,1,0,1)</f>
        <v>Pharmaceutical Preparation and Biotechnology</v>
      </c>
      <c r="C6" s="20" t="s">
        <v>23</v>
      </c>
      <c r="D6" s="9" t="s">
        <v>21</v>
      </c>
      <c r="E6" s="20" t="str">
        <f>+_xlfn.XLOOKUP($N6,'[1]Cbonds export 05.20.2025'!$K:$K,'[1]Cbonds export 05.20.2025'!$D:$D,1,0,1)</f>
        <v>-/BB+/BBB</v>
      </c>
      <c r="F6" s="10">
        <f>+_xlfn.XLOOKUP($N6,'[1]Cbonds export 05.20.2025'!$K:$K,'[1]Cbonds export 05.20.2025'!$F:$F,1,0,1)</f>
        <v>2.3E-2</v>
      </c>
      <c r="G6" s="11" t="str">
        <f>+_xlfn.XLOOKUP($N6,'[1]Cbonds export 05.20.2025'!$K:$K,'[1]Cbonds export 05.20.2025'!$G:$G,1,0,1)</f>
        <v>22/06/2027</v>
      </c>
      <c r="H6" s="12">
        <f>YEAR(G6)</f>
        <v>2027</v>
      </c>
      <c r="I6" s="13">
        <v>97.765500000000003</v>
      </c>
      <c r="J6" s="13">
        <v>4.7662251119193</v>
      </c>
      <c r="K6" s="13">
        <v>71.170314572267003</v>
      </c>
      <c r="L6" s="13">
        <v>4.6397379099930003</v>
      </c>
      <c r="M6" s="14">
        <f>+_xlfn.XLOOKUP($N6,'[1]Cbonds export 05.20.2025'!$K:$K,'[1]Cbonds export 05.20.2025'!$J:$J,1,0,1)</f>
        <v>2000</v>
      </c>
      <c r="N6" s="15" t="s">
        <v>24</v>
      </c>
      <c r="O6" s="16">
        <v>748995000</v>
      </c>
      <c r="P6" s="17" t="s">
        <v>161</v>
      </c>
    </row>
    <row r="7" spans="1:16">
      <c r="A7" s="21" t="str">
        <f>+_xlfn.XLOOKUP($N7,'[1]Cbonds export 05.20.2025'!$K:$K,'[1]Cbonds export 05.20.2025'!$B:$B,1,0,1)</f>
        <v>Falabella</v>
      </c>
      <c r="B7" s="22" t="str">
        <f>+_xlfn.XLOOKUP($N7,'[1]Cbonds export 05.20.2025'!$K:$K,'[1]Cbonds export 05.20.2025'!$C:$C,1,0,1)</f>
        <v>Specialty Retailers</v>
      </c>
      <c r="C7" s="22" t="s">
        <v>155</v>
      </c>
      <c r="D7" s="22" t="s">
        <v>21</v>
      </c>
      <c r="E7" s="22" t="str">
        <f>+_xlfn.XLOOKUP($N7,'[1]Cbonds export 05.20.2025'!$K:$K,'[1]Cbonds export 05.20.2025'!$D:$D,1,0,1)</f>
        <v>-/BB+/BB+</v>
      </c>
      <c r="F7" s="23">
        <f>+_xlfn.XLOOKUP($N7,'[1]Cbonds export 05.20.2025'!$K:$K,'[1]Cbonds export 05.20.2025'!$F:$F,1,0,1)</f>
        <v>3.7499999999999999E-2</v>
      </c>
      <c r="G7" s="24" t="str">
        <f>+_xlfn.XLOOKUP($N7,'[1]Cbonds export 05.20.2025'!$K:$K,'[1]Cbonds export 05.20.2025'!$G:$G,1,0,1)</f>
        <v>30/10/2027</v>
      </c>
      <c r="H7" s="25">
        <f>YEAR(G7)</f>
        <v>2027</v>
      </c>
      <c r="I7" s="26">
        <v>97.98</v>
      </c>
      <c r="J7" s="26">
        <v>5.4298213376745998</v>
      </c>
      <c r="K7" s="26">
        <v>136.96816535228001</v>
      </c>
      <c r="L7" s="26">
        <v>5.3351024156840996</v>
      </c>
      <c r="M7" s="27">
        <f>+_xlfn.XLOOKUP($N7,'[1]Cbonds export 05.20.2025'!$K:$K,'[1]Cbonds export 05.20.2025'!$J:$J,1,0,1)</f>
        <v>200000</v>
      </c>
      <c r="N7" s="28" t="s">
        <v>156</v>
      </c>
      <c r="O7" s="29">
        <v>89906000</v>
      </c>
      <c r="P7" s="17" t="s">
        <v>161</v>
      </c>
    </row>
    <row r="8" spans="1:16">
      <c r="A8" s="8" t="str">
        <f>+_xlfn.XLOOKUP($N8,'[1]Cbonds export 05.20.2025'!$K:$K,'[1]Cbonds export 05.20.2025'!$B:$B,1,0,1)</f>
        <v>Eastman Chemical</v>
      </c>
      <c r="B8" s="9" t="str">
        <f>+_xlfn.XLOOKUP($N8,'[1]Cbonds export 05.20.2025'!$K:$K,'[1]Cbonds export 05.20.2025'!$C:$C,1,0,1)</f>
        <v>Chemical and petrochemical industry</v>
      </c>
      <c r="C8" s="9" t="s">
        <v>25</v>
      </c>
      <c r="D8" s="9" t="s">
        <v>12</v>
      </c>
      <c r="E8" s="9" t="str">
        <f>+_xlfn.XLOOKUP($N8,'[1]Cbonds export 05.20.2025'!$K:$K,'[1]Cbonds export 05.20.2025'!$D:$D,1,0,1)</f>
        <v>Baa2/BBB/Withdrawn</v>
      </c>
      <c r="F8" s="10">
        <f>+_xlfn.XLOOKUP($N8,'[1]Cbonds export 05.20.2025'!$K:$K,'[1]Cbonds export 05.20.2025'!$F:$F,1,0,1)</f>
        <v>4.4999999999999998E-2</v>
      </c>
      <c r="G8" s="11">
        <f>+_xlfn.XLOOKUP($N8,'[1]Cbonds export 05.20.2025'!$K:$K,'[1]Cbonds export 05.20.2025'!$G:$G,1,0,1)</f>
        <v>46764</v>
      </c>
      <c r="H8" s="12">
        <f>YEAR(G8)</f>
        <v>2028</v>
      </c>
      <c r="I8" s="13">
        <v>99.575299999999999</v>
      </c>
      <c r="J8" s="13">
        <v>4.7422361014980003</v>
      </c>
      <c r="K8" s="13">
        <v>65.449731028407996</v>
      </c>
      <c r="L8" s="13">
        <v>4.6684643359624003</v>
      </c>
      <c r="M8" s="14">
        <f>+_xlfn.XLOOKUP($N8,'[1]Cbonds export 05.20.2025'!$K:$K,'[1]Cbonds export 05.20.2025'!$J:$J,1,0,1)</f>
        <v>2000</v>
      </c>
      <c r="N8" s="15" t="s">
        <v>26</v>
      </c>
      <c r="O8" s="16">
        <v>300000000</v>
      </c>
      <c r="P8" s="17" t="s">
        <v>161</v>
      </c>
    </row>
    <row r="9" spans="1:16">
      <c r="A9" s="8" t="str">
        <f>+_xlfn.XLOOKUP($N9,'[1]Cbonds export 05.20.2025'!$K:$K,'[1]Cbonds export 05.20.2025'!$B:$B,1,0,1)</f>
        <v>Ally Financial</v>
      </c>
      <c r="B9" s="9" t="str">
        <f>+_xlfn.XLOOKUP($N9,'[1]Cbonds export 05.20.2025'!$K:$K,'[1]Cbonds export 05.20.2025'!$C:$C,1,0,1)</f>
        <v>Banks</v>
      </c>
      <c r="C9" s="9" t="s">
        <v>27</v>
      </c>
      <c r="D9" s="9" t="s">
        <v>12</v>
      </c>
      <c r="E9" s="9" t="str">
        <f>+_xlfn.XLOOKUP($N9,'[1]Cbonds export 05.20.2025'!$K:$K,'[1]Cbonds export 05.20.2025'!$D:$D,1,0,1)</f>
        <v>Baa3/BBB-/BBB-</v>
      </c>
      <c r="F9" s="10">
        <f>+_xlfn.XLOOKUP($N9,'[1]Cbonds export 05.20.2025'!$K:$K,'[1]Cbonds export 05.20.2025'!$F:$F,1,0,1)</f>
        <v>2.1999999999999999E-2</v>
      </c>
      <c r="G9" s="11">
        <f>+_xlfn.XLOOKUP($N9,'[1]Cbonds export 05.20.2025'!$K:$K,'[1]Cbonds export 05.20.2025'!$G:$G,1,0,1)</f>
        <v>46794</v>
      </c>
      <c r="H9" s="12">
        <f>YEAR(G9)</f>
        <v>2028</v>
      </c>
      <c r="I9" s="13">
        <v>94.56</v>
      </c>
      <c r="J9" s="13">
        <v>4.7570508823191</v>
      </c>
      <c r="K9" s="13">
        <v>67.029007466332999</v>
      </c>
      <c r="L9" s="13">
        <v>4.6571310242374002</v>
      </c>
      <c r="M9" s="14">
        <f>+_xlfn.XLOOKUP($N9,'[1]Cbonds export 05.20.2025'!$K:$K,'[1]Cbonds export 05.20.2025'!$J:$J,1,0,1)</f>
        <v>2000</v>
      </c>
      <c r="N9" s="15" t="s">
        <v>28</v>
      </c>
      <c r="O9" s="16">
        <v>750000000</v>
      </c>
      <c r="P9" s="17" t="s">
        <v>161</v>
      </c>
    </row>
    <row r="10" spans="1:16">
      <c r="A10" s="8" t="s">
        <v>29</v>
      </c>
      <c r="B10" s="9" t="s">
        <v>15</v>
      </c>
      <c r="C10" s="9" t="s">
        <v>29</v>
      </c>
      <c r="D10" s="9" t="s">
        <v>12</v>
      </c>
      <c r="E10" s="9" t="s">
        <v>30</v>
      </c>
      <c r="F10" s="10">
        <v>0.05</v>
      </c>
      <c r="G10" s="11">
        <v>46762</v>
      </c>
      <c r="H10" s="12">
        <v>2028</v>
      </c>
      <c r="I10" s="13">
        <v>100.57445</v>
      </c>
      <c r="J10" s="13">
        <v>4.7781681020595004</v>
      </c>
      <c r="K10" s="13">
        <v>69.635516701835996</v>
      </c>
      <c r="L10" s="13">
        <v>4.7356345400144004</v>
      </c>
      <c r="M10" s="14">
        <v>2000</v>
      </c>
      <c r="N10" s="15" t="s">
        <v>31</v>
      </c>
      <c r="O10" s="16">
        <v>750000000</v>
      </c>
      <c r="P10" s="17" t="s">
        <v>161</v>
      </c>
    </row>
    <row r="11" spans="1:16">
      <c r="A11" s="8" t="str">
        <f>+_xlfn.XLOOKUP($N11,'[1]Cbonds export 05.20.2025'!$K:$K,'[1]Cbonds export 05.20.2025'!$B:$B,1,0,1)</f>
        <v>Fluor</v>
      </c>
      <c r="B11" s="9" t="str">
        <f>+_xlfn.XLOOKUP($N11,'[1]Cbonds export 05.20.2025'!$K:$K,'[1]Cbonds export 05.20.2025'!$C:$C,1,0,1)</f>
        <v>Infrastructure and Special Construction</v>
      </c>
      <c r="C11" s="9" t="s">
        <v>32</v>
      </c>
      <c r="D11" s="9" t="s">
        <v>21</v>
      </c>
      <c r="E11" s="9" t="str">
        <f>+_xlfn.XLOOKUP($N11,'[1]Cbonds export 05.20.2025'!$K:$K,'[1]Cbonds export 05.20.2025'!$D:$D,1,0,1)</f>
        <v>Ba1/BB+/Withdrawn</v>
      </c>
      <c r="F11" s="10">
        <f>+_xlfn.XLOOKUP($N11,'[1]Cbonds export 05.20.2025'!$K:$K,'[1]Cbonds export 05.20.2025'!$F:$F,1,0,1)</f>
        <v>4.2500000000000003E-2</v>
      </c>
      <c r="G11" s="11" t="str">
        <f>+_xlfn.XLOOKUP($N11,'[1]Cbonds export 05.20.2025'!$K:$K,'[1]Cbonds export 05.20.2025'!$G:$G,1,0,1)</f>
        <v>15/09/2028</v>
      </c>
      <c r="H11" s="12">
        <f t="shared" ref="H11:H64" si="0">YEAR(G11)</f>
        <v>2028</v>
      </c>
      <c r="I11" s="13">
        <v>99.028400000000005</v>
      </c>
      <c r="J11" s="13">
        <v>4.7753751860465004</v>
      </c>
      <c r="K11" s="13">
        <v>69.447301204604997</v>
      </c>
      <c r="L11" s="13">
        <v>5.2044530096086996</v>
      </c>
      <c r="M11" s="14">
        <f>+_xlfn.XLOOKUP($N11,'[1]Cbonds export 05.20.2025'!$K:$K,'[1]Cbonds export 05.20.2025'!$J:$J,1,0,1)</f>
        <v>2000</v>
      </c>
      <c r="N11" s="15" t="s">
        <v>33</v>
      </c>
      <c r="O11" s="16">
        <v>600000000</v>
      </c>
      <c r="P11" s="17" t="s">
        <v>161</v>
      </c>
    </row>
    <row r="12" spans="1:16">
      <c r="A12" s="21" t="str">
        <f>+_xlfn.XLOOKUP($N12,'[1]Cbonds export 05.20.2025'!$K:$K,'[1]Cbonds export 05.20.2025'!$B:$B,1,0,1)</f>
        <v>Xerox Holdings Corporation</v>
      </c>
      <c r="B12" s="22" t="str">
        <f>+_xlfn.XLOOKUP($N12,'[1]Cbonds export 05.20.2025'!$K:$K,'[1]Cbonds export 05.20.2025'!$C:$C,1,0,1)</f>
        <v>IT equipment</v>
      </c>
      <c r="C12" s="22" t="s">
        <v>162</v>
      </c>
      <c r="D12" s="22" t="s">
        <v>21</v>
      </c>
      <c r="E12" s="22" t="s">
        <v>163</v>
      </c>
      <c r="F12" s="23">
        <f>+_xlfn.XLOOKUP($N12,'[1]Cbonds export 05.20.2025'!$K:$K,'[1]Cbonds export 05.20.2025'!$F:$F,1,0,1)</f>
        <v>5.5E-2</v>
      </c>
      <c r="G12" s="24" t="str">
        <f>+_xlfn.XLOOKUP($N12,'[1]Cbonds export 05.20.2025'!$K:$K,'[1]Cbonds export 05.20.2025'!$G:$G,1,0,1)</f>
        <v>15/08/2028</v>
      </c>
      <c r="H12" s="25">
        <f t="shared" si="0"/>
        <v>2028</v>
      </c>
      <c r="I12" s="26">
        <v>59</v>
      </c>
      <c r="J12" s="26">
        <v>37.372258361656002</v>
      </c>
      <c r="K12" s="26">
        <v>3329.6521496261998</v>
      </c>
      <c r="L12" s="26">
        <v>34.740173119189002</v>
      </c>
      <c r="M12" s="27">
        <f>+_xlfn.XLOOKUP($N12,'[1]Cbonds export 05.20.2025'!$K:$K,'[1]Cbonds export 05.20.2025'!$J:$J,1,0,1)</f>
        <v>2000</v>
      </c>
      <c r="N12" s="28" t="s">
        <v>164</v>
      </c>
      <c r="O12" s="29">
        <v>750000000</v>
      </c>
      <c r="P12" s="17" t="s">
        <v>165</v>
      </c>
    </row>
    <row r="13" spans="1:16">
      <c r="A13" s="21" t="str">
        <f>+_xlfn.XLOOKUP($N13,'[1]Cbonds export 05.20.2025'!$K:$K,'[1]Cbonds export 05.20.2025'!$B:$B,1,0,1)</f>
        <v>Braskem</v>
      </c>
      <c r="B13" s="22" t="str">
        <f>+_xlfn.XLOOKUP($N13,'[1]Cbonds export 05.20.2025'!$K:$K,'[1]Cbonds export 05.20.2025'!$C:$C,1,0,1)</f>
        <v>Chemical and petrochemical industry</v>
      </c>
      <c r="C13" s="22" t="s">
        <v>166</v>
      </c>
      <c r="D13" s="22" t="s">
        <v>21</v>
      </c>
      <c r="E13" s="22" t="s">
        <v>167</v>
      </c>
      <c r="F13" s="23">
        <f>+_xlfn.XLOOKUP($N13,'[1]Cbonds export 05.20.2025'!$K:$K,'[1]Cbonds export 05.20.2025'!$F:$F,1,0,1)</f>
        <v>4.4999999999999998E-2</v>
      </c>
      <c r="G13" s="24">
        <f>+_xlfn.XLOOKUP($N13,'[1]Cbonds export 05.20.2025'!$K:$K,'[1]Cbonds export 05.20.2025'!$G:$G,1,0,1)</f>
        <v>47027</v>
      </c>
      <c r="H13" s="25">
        <f t="shared" si="0"/>
        <v>2028</v>
      </c>
      <c r="I13" s="26">
        <v>59.997999999999998</v>
      </c>
      <c r="J13" s="26">
        <v>47.992506623183999</v>
      </c>
      <c r="K13" s="26">
        <v>4392.9748486176004</v>
      </c>
      <c r="L13" s="26">
        <v>39.639584176063003</v>
      </c>
      <c r="M13" s="27">
        <f>+_xlfn.XLOOKUP($N13,'[1]Cbonds export 05.20.2025'!$K:$K,'[1]Cbonds export 05.20.2025'!$J:$J,1,0,1)</f>
        <v>200000</v>
      </c>
      <c r="N13" s="28" t="s">
        <v>168</v>
      </c>
      <c r="O13" s="29">
        <v>1250000000</v>
      </c>
      <c r="P13" s="17" t="s">
        <v>165</v>
      </c>
    </row>
    <row r="14" spans="1:16">
      <c r="A14" s="8" t="s">
        <v>135</v>
      </c>
      <c r="B14" s="9" t="s">
        <v>34</v>
      </c>
      <c r="C14" s="9" t="str">
        <f>+A14</f>
        <v>Nordstrom</v>
      </c>
      <c r="D14" s="9" t="s">
        <v>21</v>
      </c>
      <c r="E14" s="9" t="s">
        <v>35</v>
      </c>
      <c r="F14" s="10">
        <v>6.9500000000000006E-2</v>
      </c>
      <c r="G14" s="11">
        <v>46827</v>
      </c>
      <c r="H14" s="12">
        <f t="shared" si="0"/>
        <v>2028</v>
      </c>
      <c r="I14" s="13">
        <v>103.351</v>
      </c>
      <c r="J14" s="13">
        <v>4.9123728446805996</v>
      </c>
      <c r="K14" s="13">
        <v>84.543917559760999</v>
      </c>
      <c r="L14" s="13">
        <v>5.1733104559676999</v>
      </c>
      <c r="M14" s="14">
        <v>1000</v>
      </c>
      <c r="N14" s="15" t="s">
        <v>36</v>
      </c>
      <c r="O14" s="16">
        <v>300000000</v>
      </c>
      <c r="P14" s="17" t="s">
        <v>161</v>
      </c>
    </row>
    <row r="15" spans="1:16">
      <c r="A15" s="21" t="s">
        <v>169</v>
      </c>
      <c r="B15" s="22" t="s">
        <v>170</v>
      </c>
      <c r="C15" s="22" t="str">
        <f>+A15</f>
        <v>Clearwater Paper</v>
      </c>
      <c r="D15" s="22" t="s">
        <v>21</v>
      </c>
      <c r="E15" s="22" t="s">
        <v>171</v>
      </c>
      <c r="F15" s="23">
        <v>4.7500000000000001E-2</v>
      </c>
      <c r="G15" s="24">
        <v>46980</v>
      </c>
      <c r="H15" s="25">
        <f t="shared" si="0"/>
        <v>2028</v>
      </c>
      <c r="I15" s="26">
        <v>81.990549999999999</v>
      </c>
      <c r="J15" s="26">
        <v>15.600562809316999</v>
      </c>
      <c r="K15" s="26">
        <v>1152.3102255069</v>
      </c>
      <c r="L15" s="26">
        <v>15.547750959159</v>
      </c>
      <c r="M15" s="27">
        <v>2000</v>
      </c>
      <c r="N15" s="28" t="s">
        <v>172</v>
      </c>
      <c r="O15" s="29">
        <v>275000000</v>
      </c>
      <c r="P15" s="17" t="s">
        <v>165</v>
      </c>
    </row>
    <row r="16" spans="1:16">
      <c r="A16" s="8" t="s">
        <v>145</v>
      </c>
      <c r="B16" s="9" t="s">
        <v>15</v>
      </c>
      <c r="C16" s="9" t="s">
        <v>16</v>
      </c>
      <c r="D16" s="9" t="s">
        <v>12</v>
      </c>
      <c r="E16" s="9" t="s">
        <v>17</v>
      </c>
      <c r="F16" s="10">
        <v>6.7979999999999999E-2</v>
      </c>
      <c r="G16" s="11">
        <v>47064</v>
      </c>
      <c r="H16" s="12">
        <f t="shared" si="0"/>
        <v>2028</v>
      </c>
      <c r="I16" s="13">
        <v>103.23</v>
      </c>
      <c r="J16" s="13">
        <v>5.3738107752827</v>
      </c>
      <c r="K16" s="13">
        <v>128.99535451521001</v>
      </c>
      <c r="L16" s="13">
        <v>5.2212942271933001</v>
      </c>
      <c r="M16" s="14">
        <v>200000</v>
      </c>
      <c r="N16" s="15" t="s">
        <v>37</v>
      </c>
      <c r="O16" s="16">
        <v>1500000000</v>
      </c>
      <c r="P16" s="17" t="s">
        <v>161</v>
      </c>
    </row>
    <row r="17" spans="1:16">
      <c r="A17" s="8" t="s">
        <v>20</v>
      </c>
      <c r="B17" s="9" t="s">
        <v>92</v>
      </c>
      <c r="C17" s="9" t="s">
        <v>20</v>
      </c>
      <c r="D17" s="9" t="s">
        <v>21</v>
      </c>
      <c r="E17" s="9" t="s">
        <v>90</v>
      </c>
      <c r="F17" s="10">
        <v>0.04</v>
      </c>
      <c r="G17" s="11">
        <v>46949</v>
      </c>
      <c r="H17" s="12">
        <v>2028</v>
      </c>
      <c r="I17" s="13">
        <v>97.474999999999994</v>
      </c>
      <c r="J17" s="13">
        <v>5.4043003750673</v>
      </c>
      <c r="K17" s="13">
        <v>132.83722632353999</v>
      </c>
      <c r="L17" s="13">
        <v>5.26</v>
      </c>
      <c r="M17" s="14">
        <v>1000</v>
      </c>
      <c r="N17" s="15" t="s">
        <v>149</v>
      </c>
      <c r="O17" s="16">
        <v>2000000000</v>
      </c>
      <c r="P17" s="17" t="s">
        <v>161</v>
      </c>
    </row>
    <row r="18" spans="1:16">
      <c r="A18" s="8" t="s">
        <v>150</v>
      </c>
      <c r="B18" s="9" t="s">
        <v>134</v>
      </c>
      <c r="C18" s="9" t="s">
        <v>150</v>
      </c>
      <c r="D18" s="9" t="s">
        <v>21</v>
      </c>
      <c r="E18" s="9" t="s">
        <v>151</v>
      </c>
      <c r="F18" s="10">
        <v>5.7500000000000002E-2</v>
      </c>
      <c r="G18" s="11">
        <v>47072</v>
      </c>
      <c r="H18" s="12">
        <v>2028</v>
      </c>
      <c r="I18" s="13">
        <v>99.805000000000007</v>
      </c>
      <c r="J18" s="13">
        <v>5.9208334278288</v>
      </c>
      <c r="K18" s="13">
        <v>183.55708706243001</v>
      </c>
      <c r="L18" s="13">
        <v>5.6758060419575997</v>
      </c>
      <c r="M18" s="14">
        <v>1000</v>
      </c>
      <c r="N18" s="15" t="s">
        <v>152</v>
      </c>
      <c r="O18" s="16">
        <v>800000000</v>
      </c>
      <c r="P18" s="17" t="s">
        <v>161</v>
      </c>
    </row>
    <row r="19" spans="1:16">
      <c r="A19" s="8" t="s">
        <v>39</v>
      </c>
      <c r="B19" s="9" t="s">
        <v>38</v>
      </c>
      <c r="C19" s="9" t="s">
        <v>39</v>
      </c>
      <c r="D19" s="9" t="s">
        <v>21</v>
      </c>
      <c r="E19" s="9" t="s">
        <v>40</v>
      </c>
      <c r="F19" s="10">
        <v>4.3749999999999997E-2</v>
      </c>
      <c r="G19" s="11">
        <v>46919</v>
      </c>
      <c r="H19" s="12">
        <f t="shared" si="0"/>
        <v>2028</v>
      </c>
      <c r="I19" s="13">
        <v>98.55565</v>
      </c>
      <c r="J19" s="13">
        <v>5.2324358555585997</v>
      </c>
      <c r="K19" s="13">
        <v>115.79460654344</v>
      </c>
      <c r="L19" s="13">
        <v>5.0951748613912002</v>
      </c>
      <c r="M19" s="14">
        <v>2000</v>
      </c>
      <c r="N19" s="15" t="s">
        <v>41</v>
      </c>
      <c r="O19" s="16">
        <v>800000000</v>
      </c>
      <c r="P19" s="17" t="s">
        <v>161</v>
      </c>
    </row>
    <row r="20" spans="1:16">
      <c r="A20" s="8" t="s">
        <v>136</v>
      </c>
      <c r="B20" s="9" t="s">
        <v>42</v>
      </c>
      <c r="C20" s="9" t="str">
        <f>+A20</f>
        <v>Ecopetrol</v>
      </c>
      <c r="D20" s="9" t="s">
        <v>21</v>
      </c>
      <c r="E20" s="9" t="s">
        <v>43</v>
      </c>
      <c r="F20" s="10">
        <v>8.6249999999999993E-2</v>
      </c>
      <c r="G20" s="11">
        <v>47137</v>
      </c>
      <c r="H20" s="12">
        <f t="shared" si="0"/>
        <v>2029</v>
      </c>
      <c r="I20" s="13">
        <v>106.2165</v>
      </c>
      <c r="J20" s="13">
        <v>6.0333288027999998</v>
      </c>
      <c r="K20" s="13">
        <v>194.69832060189</v>
      </c>
      <c r="L20" s="13">
        <v>5.7889043132677998</v>
      </c>
      <c r="M20" s="14">
        <v>1000</v>
      </c>
      <c r="N20" s="15" t="s">
        <v>44</v>
      </c>
      <c r="O20" s="16">
        <v>1200000000</v>
      </c>
      <c r="P20" s="17" t="s">
        <v>161</v>
      </c>
    </row>
    <row r="21" spans="1:16">
      <c r="A21" s="8" t="str">
        <f>+_xlfn.XLOOKUP($N21,'[1]Cbonds export 05.20.2025'!$K:$K,'[1]Cbonds export 05.20.2025'!$B:$B,1,0,1)</f>
        <v>Ally Financial</v>
      </c>
      <c r="B21" s="9" t="str">
        <f>+_xlfn.XLOOKUP($N21,'[1]Cbonds export 05.20.2025'!$K:$K,'[1]Cbonds export 05.20.2025'!$C:$C,1,0,1)</f>
        <v>Banks</v>
      </c>
      <c r="C21" s="9" t="s">
        <v>27</v>
      </c>
      <c r="D21" s="9" t="s">
        <v>12</v>
      </c>
      <c r="E21" s="9" t="str">
        <f>+_xlfn.XLOOKUP($N21,'[1]Cbonds export 05.20.2025'!$K:$K,'[1]Cbonds export 05.20.2025'!$D:$D,1,0,1)</f>
        <v>Baa3/BBB-/BBB-</v>
      </c>
      <c r="F21" s="10">
        <f>+_xlfn.XLOOKUP($N21,'[1]Cbonds export 05.20.2025'!$K:$K,'[1]Cbonds export 05.20.2025'!$F:$F,1,0,1)</f>
        <v>6.9919999999999996E-2</v>
      </c>
      <c r="G21" s="11" t="str">
        <f>+_xlfn.XLOOKUP($N21,'[1]Cbonds export 05.20.2025'!$K:$K,'[1]Cbonds export 05.20.2025'!$G:$G,1,0,1)</f>
        <v>13/06/2029</v>
      </c>
      <c r="H21" s="12">
        <f t="shared" si="0"/>
        <v>2029</v>
      </c>
      <c r="I21" s="13">
        <v>103.715</v>
      </c>
      <c r="J21" s="13">
        <v>5.0119989796673998</v>
      </c>
      <c r="K21" s="13">
        <v>93.861399046453997</v>
      </c>
      <c r="L21" s="13">
        <v>4.9966088021799999</v>
      </c>
      <c r="M21" s="14">
        <f>+_xlfn.XLOOKUP($N21,'[1]Cbonds export 05.20.2025'!$K:$K,'[1]Cbonds export 05.20.2025'!$J:$J,1,0,1)</f>
        <v>2000</v>
      </c>
      <c r="N21" s="15" t="s">
        <v>45</v>
      </c>
      <c r="O21" s="16">
        <v>750000000</v>
      </c>
      <c r="P21" s="17" t="s">
        <v>161</v>
      </c>
    </row>
    <row r="22" spans="1:16">
      <c r="A22" s="21" t="str">
        <f>+_xlfn.XLOOKUP($N22,'[1]Cbonds export 05.20.2025'!$K:$K,'[1]Cbonds export 05.20.2025'!$B:$B,1,0,1)</f>
        <v>Olin</v>
      </c>
      <c r="B22" s="22" t="str">
        <f>+_xlfn.XLOOKUP($N22,'[1]Cbonds export 05.20.2025'!$K:$K,'[1]Cbonds export 05.20.2025'!$C:$C,1,0,1)</f>
        <v>Chemical and petrochemical industry</v>
      </c>
      <c r="C22" s="22" t="s">
        <v>46</v>
      </c>
      <c r="D22" s="22" t="s">
        <v>21</v>
      </c>
      <c r="E22" s="22" t="s">
        <v>47</v>
      </c>
      <c r="F22" s="23">
        <f>+_xlfn.XLOOKUP($N22,'[1]Cbonds export 05.20.2025'!$K:$K,'[1]Cbonds export 05.20.2025'!$F:$F,1,0,1)</f>
        <v>5.6250000000000001E-2</v>
      </c>
      <c r="G22" s="24">
        <f>+_xlfn.XLOOKUP($N22,'[1]Cbonds export 05.20.2025'!$K:$K,'[1]Cbonds export 05.20.2025'!$G:$G,1,0,1)</f>
        <v>47126</v>
      </c>
      <c r="H22" s="25">
        <f t="shared" si="0"/>
        <v>2029</v>
      </c>
      <c r="I22" s="26">
        <v>99.4435</v>
      </c>
      <c r="J22" s="26">
        <v>5.9098961663083003</v>
      </c>
      <c r="K22" s="26">
        <v>180.33250281859</v>
      </c>
      <c r="L22" s="26">
        <v>5.8698164938724</v>
      </c>
      <c r="M22" s="27">
        <f>+_xlfn.XLOOKUP($N22,'[1]Cbonds export 05.20.2025'!$K:$K,'[1]Cbonds export 05.20.2025'!$J:$J,1,0,1)</f>
        <v>1000</v>
      </c>
      <c r="N22" s="28" t="s">
        <v>48</v>
      </c>
      <c r="O22" s="29">
        <v>750000000</v>
      </c>
      <c r="P22" s="17" t="s">
        <v>173</v>
      </c>
    </row>
    <row r="23" spans="1:16">
      <c r="A23" s="21" t="str">
        <f>+_xlfn.XLOOKUP($N23,'[1]Cbonds export 05.20.2025'!$K:$K,'[1]Cbonds export 05.20.2025'!$B:$B,1,0,1)</f>
        <v>FMC</v>
      </c>
      <c r="B23" s="22" t="str">
        <f>+_xlfn.XLOOKUP($N23,'[1]Cbonds export 05.20.2025'!$K:$K,'[1]Cbonds export 05.20.2025'!$C:$C,1,0,1)</f>
        <v>Fertilizers</v>
      </c>
      <c r="C23" s="22" t="s">
        <v>49</v>
      </c>
      <c r="D23" s="22" t="s">
        <v>12</v>
      </c>
      <c r="E23" s="22" t="s">
        <v>50</v>
      </c>
      <c r="F23" s="23">
        <f>+_xlfn.XLOOKUP($N23,'[1]Cbonds export 05.20.2025'!$K:$K,'[1]Cbonds export 05.20.2025'!$F:$F,1,0,1)</f>
        <v>3.4500000000000003E-2</v>
      </c>
      <c r="G23" s="24">
        <f>+_xlfn.XLOOKUP($N23,'[1]Cbonds export 05.20.2025'!$K:$K,'[1]Cbonds export 05.20.2025'!$G:$G,1,0,1)</f>
        <v>47128</v>
      </c>
      <c r="H23" s="25">
        <f t="shared" si="0"/>
        <v>2029</v>
      </c>
      <c r="I23" s="26">
        <v>93.067499999999995</v>
      </c>
      <c r="J23" s="26">
        <v>5.9164627873917004</v>
      </c>
      <c r="K23" s="26">
        <v>179.88791852900999</v>
      </c>
      <c r="L23" s="26">
        <v>6.1031278451061004</v>
      </c>
      <c r="M23" s="27">
        <f>+_xlfn.XLOOKUP($N23,'[1]Cbonds export 05.20.2025'!$K:$K,'[1]Cbonds export 05.20.2025'!$J:$J,1,0,1)</f>
        <v>2000</v>
      </c>
      <c r="N23" s="28" t="s">
        <v>51</v>
      </c>
      <c r="O23" s="29">
        <v>500000000</v>
      </c>
      <c r="P23" s="17" t="s">
        <v>173</v>
      </c>
    </row>
    <row r="24" spans="1:16">
      <c r="A24" s="8" t="str">
        <f>+_xlfn.XLOOKUP($N24,'[1]Cbonds export 05.20.2025'!$K:$K,'[1]Cbonds export 05.20.2025'!$B:$B,1,0,1)</f>
        <v>Methanex</v>
      </c>
      <c r="B24" s="9" t="str">
        <f>+_xlfn.XLOOKUP($N24,'[1]Cbonds export 05.20.2025'!$K:$K,'[1]Cbonds export 05.20.2025'!$C:$C,1,0,1)</f>
        <v>Chemical and petrochemical industry</v>
      </c>
      <c r="C24" s="9" t="s">
        <v>52</v>
      </c>
      <c r="D24" s="9" t="s">
        <v>21</v>
      </c>
      <c r="E24" s="9" t="s">
        <v>53</v>
      </c>
      <c r="F24" s="10">
        <f>+_xlfn.XLOOKUP($N24,'[1]Cbonds export 05.20.2025'!$K:$K,'[1]Cbonds export 05.20.2025'!$F:$F,1,0,1)</f>
        <v>5.2499999999999998E-2</v>
      </c>
      <c r="G24" s="11" t="str">
        <f>+_xlfn.XLOOKUP($N24,'[1]Cbonds export 05.20.2025'!$K:$K,'[1]Cbonds export 05.20.2025'!$G:$G,1,0,1)</f>
        <v>15/12/2029</v>
      </c>
      <c r="H24" s="12">
        <f t="shared" si="0"/>
        <v>2029</v>
      </c>
      <c r="I24" s="13">
        <v>99.635000000000005</v>
      </c>
      <c r="J24" s="13">
        <v>5.4383914326443996</v>
      </c>
      <c r="K24" s="13">
        <v>131.50867729941999</v>
      </c>
      <c r="L24" s="13">
        <v>5.4047418010010997</v>
      </c>
      <c r="M24" s="14">
        <f>+_xlfn.XLOOKUP($N24,'[1]Cbonds export 05.20.2025'!$K:$K,'[1]Cbonds export 05.20.2025'!$J:$J,1,0,1)</f>
        <v>2000</v>
      </c>
      <c r="N24" s="15" t="s">
        <v>54</v>
      </c>
      <c r="O24" s="16">
        <v>700000000</v>
      </c>
      <c r="P24" s="17" t="s">
        <v>161</v>
      </c>
    </row>
    <row r="25" spans="1:16">
      <c r="A25" s="19" t="str">
        <f>+_xlfn.XLOOKUP($N25,'[1]Cbonds export 05.20.2025'!$K:$K,'[1]Cbonds export 05.20.2025'!$B:$B,1,0,1)</f>
        <v>Eastman Chemical</v>
      </c>
      <c r="B25" s="20" t="str">
        <f>+_xlfn.XLOOKUP($N25,'[1]Cbonds export 05.20.2025'!$K:$K,'[1]Cbonds export 05.20.2025'!$C:$C,1,0,1)</f>
        <v>Chemical and petrochemical industry</v>
      </c>
      <c r="C25" s="9" t="s">
        <v>25</v>
      </c>
      <c r="D25" s="9" t="s">
        <v>12</v>
      </c>
      <c r="E25" s="9" t="str">
        <f>+_xlfn.XLOOKUP($N25,'[1]Cbonds export 05.20.2025'!$K:$K,'[1]Cbonds export 05.20.2025'!$D:$D,1,0,1)</f>
        <v>Baa2/BBB/Withdrawn</v>
      </c>
      <c r="F25" s="10">
        <f>+_xlfn.XLOOKUP($N25,'[1]Cbonds export 05.20.2025'!$K:$K,'[1]Cbonds export 05.20.2025'!$F:$F,1,0,1)</f>
        <v>0.05</v>
      </c>
      <c r="G25" s="11">
        <f>+_xlfn.XLOOKUP($N25,'[1]Cbonds export 05.20.2025'!$K:$K,'[1]Cbonds export 05.20.2025'!$G:$G,1,0,1)</f>
        <v>47126</v>
      </c>
      <c r="H25" s="12">
        <f t="shared" si="0"/>
        <v>2029</v>
      </c>
      <c r="I25" s="13">
        <v>100.545</v>
      </c>
      <c r="J25" s="13">
        <v>4.8633165071222004</v>
      </c>
      <c r="K25" s="13">
        <v>75.549590736349998</v>
      </c>
      <c r="L25" s="13">
        <v>4.7809946854473004</v>
      </c>
      <c r="M25" s="14">
        <f>+_xlfn.XLOOKUP($N25,'[1]Cbonds export 05.20.2025'!$K:$K,'[1]Cbonds export 05.20.2025'!$J:$J,1,0,1)</f>
        <v>2000</v>
      </c>
      <c r="N25" s="15" t="s">
        <v>55</v>
      </c>
      <c r="O25" s="16">
        <v>750000000</v>
      </c>
      <c r="P25" s="17" t="s">
        <v>161</v>
      </c>
    </row>
    <row r="26" spans="1:16">
      <c r="A26" s="8" t="s">
        <v>137</v>
      </c>
      <c r="B26" s="9" t="s">
        <v>56</v>
      </c>
      <c r="C26" s="9" t="str">
        <f>+A26</f>
        <v>Mattel</v>
      </c>
      <c r="D26" s="9" t="s">
        <v>12</v>
      </c>
      <c r="E26" s="9" t="s">
        <v>57</v>
      </c>
      <c r="F26" s="10">
        <v>3.7499999999999999E-2</v>
      </c>
      <c r="G26" s="11">
        <v>47209</v>
      </c>
      <c r="H26" s="12">
        <f t="shared" si="0"/>
        <v>2029</v>
      </c>
      <c r="I26" s="13">
        <v>97.070999999999998</v>
      </c>
      <c r="J26" s="13">
        <v>4.9660398867562003</v>
      </c>
      <c r="K26" s="13">
        <v>86.719568477107998</v>
      </c>
      <c r="L26" s="13">
        <v>4.9732958652243999</v>
      </c>
      <c r="M26" s="14">
        <v>1000</v>
      </c>
      <c r="N26" s="15" t="s">
        <v>58</v>
      </c>
      <c r="O26" s="16">
        <v>600000000</v>
      </c>
      <c r="P26" s="17" t="s">
        <v>161</v>
      </c>
    </row>
    <row r="27" spans="1:16">
      <c r="A27" s="8" t="s">
        <v>150</v>
      </c>
      <c r="B27" s="9" t="s">
        <v>134</v>
      </c>
      <c r="C27" s="9" t="s">
        <v>150</v>
      </c>
      <c r="D27" s="9" t="s">
        <v>21</v>
      </c>
      <c r="E27" s="9" t="s">
        <v>151</v>
      </c>
      <c r="F27" s="10">
        <v>4.5999999999999999E-2</v>
      </c>
      <c r="G27" s="11">
        <v>47437</v>
      </c>
      <c r="H27" s="12">
        <v>2029</v>
      </c>
      <c r="I27" s="13">
        <v>95.307500000000005</v>
      </c>
      <c r="J27" s="13">
        <v>6.2886966914741</v>
      </c>
      <c r="K27" s="13">
        <v>216.81147745448999</v>
      </c>
      <c r="L27" s="13">
        <v>5.9796398973778002</v>
      </c>
      <c r="M27" s="14">
        <v>1000</v>
      </c>
      <c r="N27" s="15" t="s">
        <v>153</v>
      </c>
      <c r="O27" s="16">
        <v>650000000</v>
      </c>
      <c r="P27" s="17" t="s">
        <v>161</v>
      </c>
    </row>
    <row r="28" spans="1:16">
      <c r="A28" s="8" t="s">
        <v>60</v>
      </c>
      <c r="B28" s="9" t="s">
        <v>59</v>
      </c>
      <c r="C28" s="9" t="s">
        <v>60</v>
      </c>
      <c r="D28" s="9" t="s">
        <v>12</v>
      </c>
      <c r="E28" s="9" t="s">
        <v>61</v>
      </c>
      <c r="F28" s="10">
        <v>5.9499999999999997E-2</v>
      </c>
      <c r="G28" s="11">
        <v>47314</v>
      </c>
      <c r="H28" s="12">
        <f t="shared" si="0"/>
        <v>2029</v>
      </c>
      <c r="I28" s="13">
        <v>100.99</v>
      </c>
      <c r="J28" s="13">
        <v>5.666805627924</v>
      </c>
      <c r="K28" s="13">
        <v>156.25027537597001</v>
      </c>
      <c r="L28" s="13">
        <v>5.6229573345007999</v>
      </c>
      <c r="M28" s="14">
        <v>2000</v>
      </c>
      <c r="N28" s="15" t="s">
        <v>62</v>
      </c>
      <c r="O28" s="16">
        <v>850000000</v>
      </c>
      <c r="P28" s="17" t="s">
        <v>161</v>
      </c>
    </row>
    <row r="29" spans="1:16">
      <c r="A29" s="8" t="s">
        <v>29</v>
      </c>
      <c r="B29" s="9" t="s">
        <v>15</v>
      </c>
      <c r="C29" s="9" t="s">
        <v>29</v>
      </c>
      <c r="D29" s="9" t="s">
        <v>12</v>
      </c>
      <c r="E29" s="9" t="s">
        <v>63</v>
      </c>
      <c r="F29" s="10">
        <v>5.3999999999999999E-2</v>
      </c>
      <c r="G29" s="11">
        <v>47437</v>
      </c>
      <c r="H29" s="12">
        <f t="shared" si="0"/>
        <v>2029</v>
      </c>
      <c r="I29" s="13">
        <v>101.77</v>
      </c>
      <c r="J29" s="13">
        <v>4.8640697328705</v>
      </c>
      <c r="K29" s="13">
        <v>74.826815748252002</v>
      </c>
      <c r="L29" s="13">
        <v>4.8014897953651996</v>
      </c>
      <c r="M29" s="14">
        <v>2000</v>
      </c>
      <c r="N29" s="15" t="s">
        <v>64</v>
      </c>
      <c r="O29" s="16">
        <v>1000000000</v>
      </c>
      <c r="P29" s="17" t="s">
        <v>161</v>
      </c>
    </row>
    <row r="30" spans="1:16">
      <c r="A30" s="30" t="s">
        <v>174</v>
      </c>
      <c r="B30" s="31" t="s">
        <v>38</v>
      </c>
      <c r="C30" s="31" t="s">
        <v>174</v>
      </c>
      <c r="D30" s="22" t="s">
        <v>21</v>
      </c>
      <c r="E30" s="31" t="s">
        <v>43</v>
      </c>
      <c r="F30" s="23">
        <v>4.6249999999999999E-2</v>
      </c>
      <c r="G30" s="24">
        <v>47489</v>
      </c>
      <c r="H30" s="25">
        <f t="shared" si="0"/>
        <v>2030</v>
      </c>
      <c r="I30" s="26">
        <v>97.005549999999999</v>
      </c>
      <c r="J30" s="26">
        <v>5.5630820350621999</v>
      </c>
      <c r="K30" s="26">
        <v>142.04326012195</v>
      </c>
      <c r="L30" s="26">
        <v>5.5877308093684004</v>
      </c>
      <c r="M30" s="27">
        <v>1000</v>
      </c>
      <c r="N30" s="28" t="s">
        <v>175</v>
      </c>
      <c r="O30" s="29">
        <v>2750000000</v>
      </c>
      <c r="P30" s="17" t="s">
        <v>165</v>
      </c>
    </row>
    <row r="31" spans="1:16">
      <c r="A31" s="30" t="str">
        <f>+_xlfn.XLOOKUP($N31,'[1]Cbonds export 05.20.2025'!$K:$K,'[1]Cbonds export 05.20.2025'!$B:$B,1,0,1)</f>
        <v>Olin</v>
      </c>
      <c r="B31" s="31" t="str">
        <f>+_xlfn.XLOOKUP($N31,'[1]Cbonds export 05.20.2025'!$K:$K,'[1]Cbonds export 05.20.2025'!$C:$C,1,0,1)</f>
        <v>Chemical and petrochemical industry</v>
      </c>
      <c r="C31" s="31" t="s">
        <v>46</v>
      </c>
      <c r="D31" s="22" t="s">
        <v>21</v>
      </c>
      <c r="E31" s="31" t="s">
        <v>65</v>
      </c>
      <c r="F31" s="23">
        <f>+_xlfn.XLOOKUP($N31,'[1]Cbonds export 05.20.2025'!$K:$K,'[1]Cbonds export 05.20.2025'!$F:$F,1,0,1)</f>
        <v>0.05</v>
      </c>
      <c r="G31" s="24">
        <f>+_xlfn.XLOOKUP($N31,'[1]Cbonds export 05.20.2025'!$K:$K,'[1]Cbonds export 05.20.2025'!$G:$G,1,0,1)</f>
        <v>47485</v>
      </c>
      <c r="H31" s="25">
        <f t="shared" si="0"/>
        <v>2030</v>
      </c>
      <c r="I31" s="26">
        <v>97.5</v>
      </c>
      <c r="J31" s="26">
        <v>5.8680201805944998</v>
      </c>
      <c r="K31" s="26">
        <v>174.22270862929</v>
      </c>
      <c r="L31" s="26">
        <v>5.9763491100649997</v>
      </c>
      <c r="M31" s="27">
        <f>+_xlfn.XLOOKUP($N31,'[1]Cbonds export 05.20.2025'!$K:$K,'[1]Cbonds export 05.20.2025'!$J:$J,1,0,1)</f>
        <v>1000</v>
      </c>
      <c r="N31" s="28" t="s">
        <v>66</v>
      </c>
      <c r="O31" s="29">
        <v>550000000</v>
      </c>
      <c r="P31" s="17" t="s">
        <v>173</v>
      </c>
    </row>
    <row r="32" spans="1:16">
      <c r="A32" s="8" t="s">
        <v>39</v>
      </c>
      <c r="B32" s="9" t="s">
        <v>38</v>
      </c>
      <c r="C32" s="9" t="s">
        <v>39</v>
      </c>
      <c r="D32" s="9" t="s">
        <v>21</v>
      </c>
      <c r="E32" s="20" t="s">
        <v>40</v>
      </c>
      <c r="F32" s="10">
        <v>3.875E-2</v>
      </c>
      <c r="G32" s="11">
        <v>47802</v>
      </c>
      <c r="H32" s="12">
        <f t="shared" si="0"/>
        <v>2030</v>
      </c>
      <c r="I32" s="13">
        <v>93.045000000000002</v>
      </c>
      <c r="J32" s="13">
        <v>5.7805265387676004</v>
      </c>
      <c r="K32" s="13">
        <v>161.64086280793001</v>
      </c>
      <c r="L32" s="13">
        <v>5.8657650211977996</v>
      </c>
      <c r="M32" s="14">
        <v>2000</v>
      </c>
      <c r="N32" s="15" t="s">
        <v>67</v>
      </c>
      <c r="O32" s="16">
        <v>650000000</v>
      </c>
      <c r="P32" s="17" t="s">
        <v>161</v>
      </c>
    </row>
    <row r="33" spans="1:16">
      <c r="A33" s="8" t="s">
        <v>69</v>
      </c>
      <c r="B33" s="9" t="s">
        <v>68</v>
      </c>
      <c r="C33" s="9" t="s">
        <v>69</v>
      </c>
      <c r="D33" s="9" t="s">
        <v>12</v>
      </c>
      <c r="E33" s="9" t="s">
        <v>70</v>
      </c>
      <c r="F33" s="10">
        <v>4.7E-2</v>
      </c>
      <c r="G33" s="11">
        <v>47763</v>
      </c>
      <c r="H33" s="12">
        <f t="shared" si="0"/>
        <v>2030</v>
      </c>
      <c r="I33" s="13">
        <v>98.2928</v>
      </c>
      <c r="J33" s="13">
        <v>5.2167283875081001</v>
      </c>
      <c r="K33" s="13">
        <v>106.09039282237001</v>
      </c>
      <c r="L33" s="13">
        <v>5.0649725136379002</v>
      </c>
      <c r="M33" s="14">
        <v>2000</v>
      </c>
      <c r="N33" s="15" t="s">
        <v>71</v>
      </c>
      <c r="O33" s="16">
        <v>600000000</v>
      </c>
      <c r="P33" s="17" t="s">
        <v>161</v>
      </c>
    </row>
    <row r="34" spans="1:16">
      <c r="A34" s="19" t="s">
        <v>60</v>
      </c>
      <c r="B34" s="20" t="s">
        <v>59</v>
      </c>
      <c r="C34" s="20" t="s">
        <v>60</v>
      </c>
      <c r="D34" s="9" t="s">
        <v>12</v>
      </c>
      <c r="E34" s="20" t="s">
        <v>61</v>
      </c>
      <c r="F34" s="32">
        <v>5.5E-2</v>
      </c>
      <c r="G34" s="33">
        <v>47727</v>
      </c>
      <c r="H34" s="12">
        <f t="shared" si="0"/>
        <v>2030</v>
      </c>
      <c r="I34" s="13">
        <v>98.825000000000003</v>
      </c>
      <c r="J34" s="13">
        <v>5.9051997759867003</v>
      </c>
      <c r="K34" s="13">
        <v>175.74953149757999</v>
      </c>
      <c r="L34" s="13">
        <v>5.8612427880234002</v>
      </c>
      <c r="M34" s="34">
        <v>2000</v>
      </c>
      <c r="N34" s="35" t="s">
        <v>72</v>
      </c>
      <c r="O34" s="16">
        <v>750000000</v>
      </c>
      <c r="P34" s="17" t="s">
        <v>161</v>
      </c>
    </row>
    <row r="35" spans="1:16">
      <c r="A35" s="8" t="s">
        <v>138</v>
      </c>
      <c r="B35" s="9" t="s">
        <v>42</v>
      </c>
      <c r="C35" s="9" t="str">
        <f>+A35</f>
        <v>Geopark</v>
      </c>
      <c r="D35" s="9" t="s">
        <v>21</v>
      </c>
      <c r="E35" s="9" t="s">
        <v>73</v>
      </c>
      <c r="F35" s="10">
        <v>8.7499999999999994E-2</v>
      </c>
      <c r="G35" s="11">
        <v>47514</v>
      </c>
      <c r="H35" s="12">
        <f t="shared" si="0"/>
        <v>2030</v>
      </c>
      <c r="I35" s="13">
        <v>98.35</v>
      </c>
      <c r="J35" s="13">
        <v>9.5170455367630993</v>
      </c>
      <c r="K35" s="13">
        <v>540.09375815400995</v>
      </c>
      <c r="L35" s="13">
        <v>9.5060902364221995</v>
      </c>
      <c r="M35" s="14">
        <v>200000</v>
      </c>
      <c r="N35" s="15" t="s">
        <v>74</v>
      </c>
      <c r="O35" s="16">
        <v>550000000</v>
      </c>
      <c r="P35" s="17" t="s">
        <v>161</v>
      </c>
    </row>
    <row r="36" spans="1:16">
      <c r="A36" s="8" t="str">
        <f>+_xlfn.XLOOKUP($N36,'[1]Cbonds export 05.20.2025'!$K:$K,'[1]Cbonds export 05.20.2025'!$B:$B,1,0,1)</f>
        <v>EQT</v>
      </c>
      <c r="B36" s="9" t="str">
        <f>+_xlfn.XLOOKUP($N36,'[1]Cbonds export 05.20.2025'!$K:$K,'[1]Cbonds export 05.20.2025'!$C:$C,1,0,1)</f>
        <v>Oil and Gas Extraction and Refining</v>
      </c>
      <c r="C36" s="9" t="s">
        <v>75</v>
      </c>
      <c r="D36" s="9" t="s">
        <v>12</v>
      </c>
      <c r="E36" s="9" t="str">
        <f>+_xlfn.XLOOKUP($N36,'[1]Cbonds export 05.20.2025'!$K:$K,'[1]Cbonds export 05.20.2025'!$D:$D,1,0,1)</f>
        <v>Withdrawn/BBB-/BBB-</v>
      </c>
      <c r="F36" s="32">
        <f>+_xlfn.XLOOKUP($N36,'[1]Cbonds export 05.20.2025'!$K:$K,'[1]Cbonds export 05.20.2025'!$F:$F,1,0,1)</f>
        <v>7.0000000000000007E-2</v>
      </c>
      <c r="G36" s="33">
        <f>+_xlfn.XLOOKUP($N36,'[1]Cbonds export 05.20.2025'!$K:$K,'[1]Cbonds export 05.20.2025'!$G:$G,1,0,1)</f>
        <v>47485</v>
      </c>
      <c r="H36" s="12">
        <f t="shared" si="0"/>
        <v>2030</v>
      </c>
      <c r="I36" s="13">
        <v>106.28435</v>
      </c>
      <c r="J36" s="13">
        <v>5.1146249720602004</v>
      </c>
      <c r="K36" s="13">
        <v>99.309735596096999</v>
      </c>
      <c r="L36" s="13">
        <v>5.0483463023033996</v>
      </c>
      <c r="M36" s="34">
        <f>+_xlfn.XLOOKUP($N36,'[1]Cbonds export 05.20.2025'!$K:$K,'[1]Cbonds export 05.20.2025'!$J:$J,1,0,1)</f>
        <v>2000</v>
      </c>
      <c r="N36" s="35" t="s">
        <v>76</v>
      </c>
      <c r="O36" s="16">
        <v>750000000</v>
      </c>
      <c r="P36" s="17" t="s">
        <v>161</v>
      </c>
    </row>
    <row r="37" spans="1:16">
      <c r="A37" s="8" t="s">
        <v>139</v>
      </c>
      <c r="B37" s="9" t="s">
        <v>34</v>
      </c>
      <c r="C37" s="9" t="str">
        <f>+A37</f>
        <v>Macy´s</v>
      </c>
      <c r="D37" s="9" t="s">
        <v>21</v>
      </c>
      <c r="E37" s="9" t="s">
        <v>77</v>
      </c>
      <c r="F37" s="10">
        <v>5.8749999999999997E-2</v>
      </c>
      <c r="G37" s="11">
        <v>47557</v>
      </c>
      <c r="H37" s="12">
        <f t="shared" si="0"/>
        <v>2030</v>
      </c>
      <c r="I37" s="13">
        <v>100.1765</v>
      </c>
      <c r="J37" s="13">
        <v>5.9026780275639998</v>
      </c>
      <c r="K37" s="13">
        <v>177.33893406474999</v>
      </c>
      <c r="L37" s="13">
        <v>5.7934766468827998</v>
      </c>
      <c r="M37" s="14">
        <v>2000</v>
      </c>
      <c r="N37" s="15" t="s">
        <v>78</v>
      </c>
      <c r="O37" s="16">
        <v>425000000</v>
      </c>
      <c r="P37" s="17" t="s">
        <v>161</v>
      </c>
    </row>
    <row r="38" spans="1:16">
      <c r="A38" s="19" t="s">
        <v>140</v>
      </c>
      <c r="B38" s="20" t="s">
        <v>42</v>
      </c>
      <c r="C38" s="20" t="str">
        <f>+A38</f>
        <v>HF Sinclair</v>
      </c>
      <c r="D38" s="9" t="s">
        <v>12</v>
      </c>
      <c r="E38" s="20" t="s">
        <v>17</v>
      </c>
      <c r="F38" s="32">
        <v>4.4999999999999998E-2</v>
      </c>
      <c r="G38" s="33">
        <v>47757</v>
      </c>
      <c r="H38" s="12">
        <f t="shared" si="0"/>
        <v>2030</v>
      </c>
      <c r="I38" s="13">
        <v>97.102950000000007</v>
      </c>
      <c r="J38" s="13">
        <v>5.3399688621105996</v>
      </c>
      <c r="K38" s="13">
        <v>118.43510796036</v>
      </c>
      <c r="L38" s="13">
        <v>5.3782875807729003</v>
      </c>
      <c r="M38" s="34">
        <v>2000</v>
      </c>
      <c r="N38" s="35" t="s">
        <v>79</v>
      </c>
      <c r="O38" s="16">
        <v>75000000</v>
      </c>
      <c r="P38" s="17" t="s">
        <v>161</v>
      </c>
    </row>
    <row r="39" spans="1:16">
      <c r="A39" s="8" t="str">
        <f>+_xlfn.XLOOKUP($N39,'[1]Cbonds export 05.20.2025'!$K:$K,'[1]Cbonds export 05.20.2025'!$B:$B,1,0,1)</f>
        <v>Petrobras</v>
      </c>
      <c r="B39" s="9" t="str">
        <f>+_xlfn.XLOOKUP($N39,'[1]Cbonds export 05.20.2025'!$K:$K,'[1]Cbonds export 05.20.2025'!$C:$C,1,0,1)</f>
        <v>Oil and Gas Extraction and Refining</v>
      </c>
      <c r="C39" s="9" t="s">
        <v>80</v>
      </c>
      <c r="D39" s="9" t="s">
        <v>21</v>
      </c>
      <c r="E39" s="9" t="str">
        <f>+_xlfn.XLOOKUP($N39,'[1]Cbonds export 05.20.2025'!$K:$K,'[1]Cbonds export 05.20.2025'!$D:$D,1,0,1)</f>
        <v>Ba1/BB/BB</v>
      </c>
      <c r="F39" s="10">
        <f>+_xlfn.XLOOKUP($N39,'[1]Cbonds export 05.20.2025'!$K:$K,'[1]Cbonds export 05.20.2025'!$F:$F,1,0,1)</f>
        <v>5.0930000000000003E-2</v>
      </c>
      <c r="G39" s="11" t="str">
        <f>+_xlfn.XLOOKUP($N39,'[1]Cbonds export 05.20.2025'!$K:$K,'[1]Cbonds export 05.20.2025'!$G:$G,1,0,1)</f>
        <v>15/01/2030</v>
      </c>
      <c r="H39" s="12">
        <f t="shared" si="0"/>
        <v>2030</v>
      </c>
      <c r="I39" s="13">
        <v>99.224500000000006</v>
      </c>
      <c r="J39" s="13">
        <v>5.4081318780318997</v>
      </c>
      <c r="K39" s="13">
        <v>128.44369795827001</v>
      </c>
      <c r="L39" s="13">
        <v>5.3014347264678996</v>
      </c>
      <c r="M39" s="14">
        <f>+_xlfn.XLOOKUP($N39,'[1]Cbonds export 05.20.2025'!$K:$K,'[1]Cbonds export 05.20.2025'!$J:$J,1,0,1)</f>
        <v>2000</v>
      </c>
      <c r="N39" s="15" t="s">
        <v>81</v>
      </c>
      <c r="O39" s="16">
        <v>375896000</v>
      </c>
      <c r="P39" s="17" t="s">
        <v>161</v>
      </c>
    </row>
    <row r="40" spans="1:16">
      <c r="A40" s="8" t="str">
        <f>+_xlfn.XLOOKUP($N40,'[1]Cbonds export 05.20.2025'!$K:$K,'[1]Cbonds export 05.20.2025'!$B:$B,1,0,1)</f>
        <v>Viatris</v>
      </c>
      <c r="B40" s="9" t="str">
        <f>+_xlfn.XLOOKUP($N40,'[1]Cbonds export 05.20.2025'!$K:$K,'[1]Cbonds export 05.20.2025'!$C:$C,1,0,1)</f>
        <v>Pharmaceutical Preparation and Biotechnology</v>
      </c>
      <c r="C40" s="9" t="s">
        <v>23</v>
      </c>
      <c r="D40" s="9" t="s">
        <v>21</v>
      </c>
      <c r="E40" s="9" t="str">
        <f>+_xlfn.XLOOKUP($N40,'[1]Cbonds export 05.20.2025'!$K:$K,'[1]Cbonds export 05.20.2025'!$D:$D,1,0,1)</f>
        <v>-/BB+/BBB</v>
      </c>
      <c r="F40" s="10">
        <f>+_xlfn.XLOOKUP($N40,'[1]Cbonds export 05.20.2025'!$K:$K,'[1]Cbonds export 05.20.2025'!$F:$F,1,0,1)</f>
        <v>2.7E-2</v>
      </c>
      <c r="G40" s="11" t="str">
        <f>+_xlfn.XLOOKUP($N40,'[1]Cbonds export 05.20.2025'!$K:$K,'[1]Cbonds export 05.20.2025'!$G:$G,1,0,1)</f>
        <v>22/06/2030</v>
      </c>
      <c r="H40" s="12">
        <f t="shared" si="0"/>
        <v>2030</v>
      </c>
      <c r="I40" s="13">
        <v>91.300049999999999</v>
      </c>
      <c r="J40" s="13">
        <v>5.2241215897703999</v>
      </c>
      <c r="K40" s="13">
        <v>107.27688652632</v>
      </c>
      <c r="L40" s="13">
        <v>5.0983610157478996</v>
      </c>
      <c r="M40" s="14">
        <f>+_xlfn.XLOOKUP($N40,'[1]Cbonds export 05.20.2025'!$K:$K,'[1]Cbonds export 05.20.2025'!$J:$J,1,0,1)</f>
        <v>2000</v>
      </c>
      <c r="N40" s="15" t="s">
        <v>82</v>
      </c>
      <c r="O40" s="16">
        <v>1449500000</v>
      </c>
      <c r="P40" s="17" t="s">
        <v>161</v>
      </c>
    </row>
    <row r="41" spans="1:16">
      <c r="A41" s="8" t="str">
        <f>+_xlfn.XLOOKUP($N41,'[1]Cbonds export 05.20.2025'!$K:$K,'[1]Cbonds export 05.20.2025'!$B:$B,1,0,1)</f>
        <v>Embraer</v>
      </c>
      <c r="B41" s="9" t="str">
        <f>+_xlfn.XLOOKUP($N41,'[1]Cbonds export 05.20.2025'!$K:$K,'[1]Cbonds export 05.20.2025'!$C:$C,1,0,1)</f>
        <v>Aircraft Production and Defense</v>
      </c>
      <c r="C41" s="9" t="s">
        <v>83</v>
      </c>
      <c r="D41" s="9" t="s">
        <v>12</v>
      </c>
      <c r="E41" s="9" t="s">
        <v>57</v>
      </c>
      <c r="F41" s="10">
        <f>+_xlfn.XLOOKUP($N41,'[1]Cbonds export 05.20.2025'!$K:$K,'[1]Cbonds export 05.20.2025'!$F:$F,1,0,1)</f>
        <v>7.0000000000000007E-2</v>
      </c>
      <c r="G41" s="11" t="str">
        <f>+_xlfn.XLOOKUP($N41,'[1]Cbonds export 05.20.2025'!$K:$K,'[1]Cbonds export 05.20.2025'!$G:$G,1,0,1)</f>
        <v>28/07/2030</v>
      </c>
      <c r="H41" s="12">
        <f t="shared" si="0"/>
        <v>2030</v>
      </c>
      <c r="I41" s="13">
        <v>108.4</v>
      </c>
      <c r="J41" s="13">
        <v>4.8028528899121001</v>
      </c>
      <c r="K41" s="13">
        <v>76.010527540115007</v>
      </c>
      <c r="L41" s="13">
        <v>4.8028528899121001</v>
      </c>
      <c r="M41" s="14">
        <f>+_xlfn.XLOOKUP($N41,'[1]Cbonds export 05.20.2025'!$K:$K,'[1]Cbonds export 05.20.2025'!$J:$J,1,0,1)</f>
        <v>200000</v>
      </c>
      <c r="N41" s="15" t="s">
        <v>84</v>
      </c>
      <c r="O41" s="16">
        <v>750000000</v>
      </c>
      <c r="P41" s="17" t="s">
        <v>161</v>
      </c>
    </row>
    <row r="42" spans="1:16">
      <c r="A42" s="8" t="str">
        <f>+_xlfn.XLOOKUP($N42,'[1]Cbonds export 05.20.2025'!$K:$K,'[1]Cbonds export 05.20.2025'!$B:$B,1,0,1)</f>
        <v>Vale</v>
      </c>
      <c r="B42" s="9" t="str">
        <f>+_xlfn.XLOOKUP($N42,'[1]Cbonds export 05.20.2025'!$K:$K,'[1]Cbonds export 05.20.2025'!$C:$C,1,0,1)</f>
        <v>Ferrous metals</v>
      </c>
      <c r="C42" s="9" t="s">
        <v>85</v>
      </c>
      <c r="D42" s="9" t="s">
        <v>12</v>
      </c>
      <c r="E42" s="9" t="s">
        <v>86</v>
      </c>
      <c r="F42" s="10">
        <f>+_xlfn.XLOOKUP($N42,'[1]Cbonds export 05.20.2025'!$K:$K,'[1]Cbonds export 05.20.2025'!$F:$F,1,0,1)</f>
        <v>3.7499999999999999E-2</v>
      </c>
      <c r="G42" s="11">
        <f>+_xlfn.XLOOKUP($N42,'[1]Cbonds export 05.20.2025'!$K:$K,'[1]Cbonds export 05.20.2025'!$G:$G,1,0,1)</f>
        <v>47702</v>
      </c>
      <c r="H42" s="12">
        <f t="shared" si="0"/>
        <v>2030</v>
      </c>
      <c r="I42" s="13">
        <v>95.340500000000006</v>
      </c>
      <c r="J42" s="13">
        <v>5.1140232684006</v>
      </c>
      <c r="K42" s="13">
        <v>96.726032319241995</v>
      </c>
      <c r="L42" s="13">
        <v>5.0673822743828003</v>
      </c>
      <c r="M42" s="14">
        <f>+_xlfn.XLOOKUP($N42,'[1]Cbonds export 05.20.2025'!$K:$K,'[1]Cbonds export 05.20.2025'!$J:$J,1,0,1)</f>
        <v>2000</v>
      </c>
      <c r="N42" s="15" t="s">
        <v>87</v>
      </c>
      <c r="O42" s="16">
        <v>1500000000</v>
      </c>
      <c r="P42" s="17" t="s">
        <v>161</v>
      </c>
    </row>
    <row r="43" spans="1:16">
      <c r="A43" s="8" t="s">
        <v>135</v>
      </c>
      <c r="B43" s="9" t="s">
        <v>34</v>
      </c>
      <c r="C43" s="9" t="str">
        <f>+A43</f>
        <v>Nordstrom</v>
      </c>
      <c r="D43" s="9" t="s">
        <v>21</v>
      </c>
      <c r="E43" s="9" t="s">
        <v>43</v>
      </c>
      <c r="F43" s="10">
        <v>4.3749999999999997E-2</v>
      </c>
      <c r="G43" s="11">
        <v>47574</v>
      </c>
      <c r="H43" s="12">
        <f t="shared" si="0"/>
        <v>2030</v>
      </c>
      <c r="I43" s="13">
        <v>96.63</v>
      </c>
      <c r="J43" s="13">
        <v>5.4537213017957997</v>
      </c>
      <c r="K43" s="13">
        <v>131.84206806991</v>
      </c>
      <c r="L43" s="13">
        <v>5.5730541855544997</v>
      </c>
      <c r="M43" s="14">
        <v>2000</v>
      </c>
      <c r="N43" s="15" t="s">
        <v>88</v>
      </c>
      <c r="O43" s="16">
        <v>500000000</v>
      </c>
      <c r="P43" s="17" t="s">
        <v>161</v>
      </c>
    </row>
    <row r="44" spans="1:16">
      <c r="A44" s="8" t="str">
        <f>+_xlfn.XLOOKUP($N44,'[1]Cbonds export 05.20.2025'!$K:$K,'[1]Cbonds export 05.20.2025'!$B:$B,1,0,1)</f>
        <v>Centene</v>
      </c>
      <c r="B44" s="9" t="str">
        <f>+_xlfn.XLOOKUP($N44,'[1]Cbonds export 05.20.2025'!$K:$K,'[1]Cbonds export 05.20.2025'!$C:$C,1,0,1)</f>
        <v>Insurance and Reinsurance</v>
      </c>
      <c r="C44" s="9" t="s">
        <v>89</v>
      </c>
      <c r="D44" s="9" t="s">
        <v>21</v>
      </c>
      <c r="E44" s="9" t="s">
        <v>90</v>
      </c>
      <c r="F44" s="10">
        <f>+_xlfn.XLOOKUP($N44,'[1]Cbonds export 05.20.2025'!$K:$K,'[1]Cbonds export 05.20.2025'!$F:$F,1,0,1)</f>
        <v>0.03</v>
      </c>
      <c r="G44" s="11" t="str">
        <f>+_xlfn.XLOOKUP($N44,'[1]Cbonds export 05.20.2025'!$K:$K,'[1]Cbonds export 05.20.2025'!$G:$G,1,0,1)</f>
        <v>15/10/2030</v>
      </c>
      <c r="H44" s="12">
        <f t="shared" si="0"/>
        <v>2030</v>
      </c>
      <c r="I44" s="13">
        <v>90.455849999999998</v>
      </c>
      <c r="J44" s="13">
        <v>5.6146107857010001</v>
      </c>
      <c r="K44" s="13">
        <v>145.12849207442</v>
      </c>
      <c r="L44" s="13">
        <v>5.5926404224787003</v>
      </c>
      <c r="M44" s="14">
        <f>+_xlfn.XLOOKUP($N44,'[1]Cbonds export 05.20.2025'!$K:$K,'[1]Cbonds export 05.20.2025'!$J:$J,1,0,1)</f>
        <v>2000</v>
      </c>
      <c r="N44" s="15" t="s">
        <v>91</v>
      </c>
      <c r="O44" s="16">
        <v>2200000000</v>
      </c>
      <c r="P44" s="17" t="s">
        <v>161</v>
      </c>
    </row>
    <row r="45" spans="1:16">
      <c r="A45" s="8" t="s">
        <v>93</v>
      </c>
      <c r="B45" s="9" t="s">
        <v>92</v>
      </c>
      <c r="C45" s="9" t="s">
        <v>93</v>
      </c>
      <c r="D45" s="9" t="s">
        <v>12</v>
      </c>
      <c r="E45" s="9" t="s">
        <v>94</v>
      </c>
      <c r="F45" s="36">
        <v>3.6249999999999998E-2</v>
      </c>
      <c r="G45" s="11">
        <v>47618</v>
      </c>
      <c r="H45" s="12">
        <f t="shared" si="0"/>
        <v>2030</v>
      </c>
      <c r="I45" s="13">
        <v>80.66</v>
      </c>
      <c r="J45" s="13">
        <v>9.9952818659825997</v>
      </c>
      <c r="K45" s="13">
        <v>593.69553893602995</v>
      </c>
      <c r="L45" s="13">
        <v>5.1856108017900002</v>
      </c>
      <c r="M45" s="14">
        <v>2000</v>
      </c>
      <c r="N45" s="15" t="s">
        <v>95</v>
      </c>
      <c r="O45" s="16">
        <v>917517000</v>
      </c>
      <c r="P45" s="17" t="s">
        <v>161</v>
      </c>
    </row>
    <row r="46" spans="1:16">
      <c r="A46" s="8" t="s">
        <v>137</v>
      </c>
      <c r="B46" s="9" t="s">
        <v>56</v>
      </c>
      <c r="C46" s="9" t="str">
        <f>+A46</f>
        <v>Mattel</v>
      </c>
      <c r="D46" s="9" t="s">
        <v>12</v>
      </c>
      <c r="E46" s="9" t="s">
        <v>61</v>
      </c>
      <c r="F46" s="10">
        <v>0.05</v>
      </c>
      <c r="G46" s="11">
        <v>47804</v>
      </c>
      <c r="H46" s="12">
        <f t="shared" si="0"/>
        <v>2030</v>
      </c>
      <c r="I46" s="13">
        <v>99.494249999999994</v>
      </c>
      <c r="J46" s="13">
        <v>5.1950145746962004</v>
      </c>
      <c r="K46" s="13">
        <v>103.44711103354</v>
      </c>
      <c r="L46" s="13">
        <v>5.1281219620645997</v>
      </c>
      <c r="M46" s="14">
        <v>2000</v>
      </c>
      <c r="N46" s="15" t="s">
        <v>96</v>
      </c>
      <c r="O46" s="16">
        <v>600000000</v>
      </c>
      <c r="P46" s="17" t="s">
        <v>161</v>
      </c>
    </row>
    <row r="47" spans="1:16">
      <c r="A47" s="8" t="s">
        <v>140</v>
      </c>
      <c r="B47" s="9" t="s">
        <v>42</v>
      </c>
      <c r="C47" s="9" t="str">
        <f>+A47</f>
        <v>HF Sinclair</v>
      </c>
      <c r="D47" s="9" t="s">
        <v>12</v>
      </c>
      <c r="E47" s="9" t="s">
        <v>17</v>
      </c>
      <c r="F47" s="36">
        <v>5.7500000000000002E-2</v>
      </c>
      <c r="G47" s="11">
        <v>47863</v>
      </c>
      <c r="H47" s="12">
        <f t="shared" si="0"/>
        <v>2031</v>
      </c>
      <c r="I47" s="13">
        <v>102.045</v>
      </c>
      <c r="J47" s="13">
        <v>5.3044691221645</v>
      </c>
      <c r="K47" s="13">
        <v>114.38797755776</v>
      </c>
      <c r="L47" s="13">
        <v>5.2067291788855998</v>
      </c>
      <c r="M47" s="14">
        <v>2000</v>
      </c>
      <c r="N47" s="15" t="s">
        <v>97</v>
      </c>
      <c r="O47" s="16">
        <v>650000000</v>
      </c>
      <c r="P47" s="17" t="s">
        <v>161</v>
      </c>
    </row>
    <row r="48" spans="1:16">
      <c r="A48" s="8" t="str">
        <f>+_xlfn.XLOOKUP($N48,'[1]Cbonds export 05.20.2025'!$K:$K,'[1]Cbonds export 05.20.2025'!$B:$B,1,0,1)</f>
        <v>Centene</v>
      </c>
      <c r="B48" s="9" t="str">
        <f>+_xlfn.XLOOKUP($N48,'[1]Cbonds export 05.20.2025'!$K:$K,'[1]Cbonds export 05.20.2025'!$C:$C,1,0,1)</f>
        <v>Insurance and Reinsurance</v>
      </c>
      <c r="C48" s="9" t="s">
        <v>89</v>
      </c>
      <c r="D48" s="9" t="s">
        <v>21</v>
      </c>
      <c r="E48" s="9" t="s">
        <v>90</v>
      </c>
      <c r="F48" s="10">
        <f>+_xlfn.XLOOKUP($N48,'[1]Cbonds export 05.20.2025'!$K:$K,'[1]Cbonds export 05.20.2025'!$F:$F,1,0,1)</f>
        <v>2.5000000000000001E-2</v>
      </c>
      <c r="G48" s="11">
        <f>+_xlfn.XLOOKUP($N48,'[1]Cbonds export 05.20.2025'!$K:$K,'[1]Cbonds export 05.20.2025'!$G:$G,1,0,1)</f>
        <v>47851</v>
      </c>
      <c r="H48" s="12">
        <f t="shared" si="0"/>
        <v>2031</v>
      </c>
      <c r="I48" s="13">
        <v>87.472499999999997</v>
      </c>
      <c r="J48" s="13">
        <v>5.6745121526288997</v>
      </c>
      <c r="K48" s="13">
        <v>149.18257120941999</v>
      </c>
      <c r="L48" s="13">
        <v>5.6366512377394002</v>
      </c>
      <c r="M48" s="14">
        <f>+_xlfn.XLOOKUP($N48,'[1]Cbonds export 05.20.2025'!$K:$K,'[1]Cbonds export 05.20.2025'!$J:$J,1,0,1)</f>
        <v>2000</v>
      </c>
      <c r="N48" s="37" t="s">
        <v>98</v>
      </c>
      <c r="O48" s="16">
        <v>2200000000</v>
      </c>
      <c r="P48" s="17" t="s">
        <v>161</v>
      </c>
    </row>
    <row r="49" spans="1:16">
      <c r="A49" s="8" t="str">
        <f>+_xlfn.XLOOKUP($N49,'[1]Cbonds export 05.20.2025'!$K:$K,'[1]Cbonds export 05.20.2025'!$B:$B,1,0,1)</f>
        <v>Micron Technology</v>
      </c>
      <c r="B49" s="20" t="str">
        <f>+_xlfn.XLOOKUP($N49,'[1]Cbonds export 05.20.2025'!$K:$K,'[1]Cbonds export 05.20.2025'!$C:$C,1,0,1)</f>
        <v>Semiconductors</v>
      </c>
      <c r="C49" s="20" t="s">
        <v>99</v>
      </c>
      <c r="D49" s="9" t="s">
        <v>12</v>
      </c>
      <c r="E49" s="20" t="str">
        <f>+_xlfn.XLOOKUP($N49,'[1]Cbonds export 05.20.2025'!$K:$K,'[1]Cbonds export 05.20.2025'!$D:$D,1,0,1)</f>
        <v>-/BBB-/BBB</v>
      </c>
      <c r="F49" s="32">
        <f>+_xlfn.XLOOKUP($N49,'[1]Cbonds export 05.20.2025'!$K:$K,'[1]Cbonds export 05.20.2025'!$F:$F,1,0,1)</f>
        <v>5.2999999999999999E-2</v>
      </c>
      <c r="G49" s="33" t="str">
        <f>+_xlfn.XLOOKUP($N49,'[1]Cbonds export 05.20.2025'!$K:$K,'[1]Cbonds export 05.20.2025'!$G:$G,1,0,1)</f>
        <v>15/01/2031</v>
      </c>
      <c r="H49" s="12">
        <f t="shared" si="0"/>
        <v>2031</v>
      </c>
      <c r="I49" s="13">
        <v>102.07</v>
      </c>
      <c r="J49" s="13">
        <v>4.8424845463382002</v>
      </c>
      <c r="K49" s="13">
        <v>67.974237180621998</v>
      </c>
      <c r="L49" s="13">
        <v>4.7117258045619002</v>
      </c>
      <c r="M49" s="34">
        <f>+_xlfn.XLOOKUP($N49,'[1]Cbonds export 05.20.2025'!$K:$K,'[1]Cbonds export 05.20.2025'!$J:$J,1,0,1)</f>
        <v>2000</v>
      </c>
      <c r="N49" s="15" t="s">
        <v>100</v>
      </c>
      <c r="O49" s="16">
        <v>1000000000</v>
      </c>
      <c r="P49" s="17" t="s">
        <v>161</v>
      </c>
    </row>
    <row r="50" spans="1:16">
      <c r="A50" s="8" t="s">
        <v>25</v>
      </c>
      <c r="B50" s="20" t="s">
        <v>134</v>
      </c>
      <c r="C50" s="20" t="s">
        <v>25</v>
      </c>
      <c r="D50" s="9" t="s">
        <v>12</v>
      </c>
      <c r="E50" s="20" t="s">
        <v>121</v>
      </c>
      <c r="F50" s="32">
        <v>4.4999999999999998E-2</v>
      </c>
      <c r="G50" s="33">
        <v>47899</v>
      </c>
      <c r="H50" s="12">
        <v>2031</v>
      </c>
      <c r="I50" s="43">
        <v>97.59</v>
      </c>
      <c r="J50" s="43">
        <v>5.1539999999999999</v>
      </c>
      <c r="K50" s="43">
        <v>91.02</v>
      </c>
      <c r="L50" s="13">
        <v>5.1539999999999999</v>
      </c>
      <c r="M50" s="34">
        <v>2000</v>
      </c>
      <c r="N50" s="15" t="s">
        <v>157</v>
      </c>
      <c r="O50" s="16">
        <v>600000000</v>
      </c>
      <c r="P50" s="17" t="s">
        <v>161</v>
      </c>
    </row>
    <row r="51" spans="1:16">
      <c r="A51" s="8" t="str">
        <f>+_xlfn.XLOOKUP($N51,'[1]Cbonds export 05.20.2025'!$K:$K,'[1]Cbonds export 05.20.2025'!$B:$B,1,0,1)</f>
        <v>Petrobras</v>
      </c>
      <c r="B51" s="9" t="str">
        <f>+_xlfn.XLOOKUP($N51,'[1]Cbonds export 05.20.2025'!$K:$K,'[1]Cbonds export 05.20.2025'!$C:$C,1,0,1)</f>
        <v>Oil and Gas Extraction and Refining</v>
      </c>
      <c r="C51" s="9" t="s">
        <v>80</v>
      </c>
      <c r="D51" s="9" t="s">
        <v>21</v>
      </c>
      <c r="E51" s="9" t="str">
        <f>+_xlfn.XLOOKUP($N51,'[1]Cbonds export 05.20.2025'!$K:$K,'[1]Cbonds export 05.20.2025'!$D:$D,1,0,1)</f>
        <v>Ba1/BB/BB</v>
      </c>
      <c r="F51" s="10">
        <f>+_xlfn.XLOOKUP($N51,'[1]Cbonds export 05.20.2025'!$K:$K,'[1]Cbonds export 05.20.2025'!$F:$F,1,0,1)</f>
        <v>5.6000000000000001E-2</v>
      </c>
      <c r="G51" s="11">
        <f>+_xlfn.XLOOKUP($N51,'[1]Cbonds export 05.20.2025'!$K:$K,'[1]Cbonds export 05.20.2025'!$G:$G,1,0,1)</f>
        <v>47908</v>
      </c>
      <c r="H51" s="12">
        <f t="shared" si="0"/>
        <v>2031</v>
      </c>
      <c r="I51" s="13">
        <v>100.818</v>
      </c>
      <c r="J51" s="13">
        <v>5.4649379355078</v>
      </c>
      <c r="K51" s="13">
        <v>129.98804491460999</v>
      </c>
      <c r="L51" s="13">
        <v>5.4017667057769998</v>
      </c>
      <c r="M51" s="14">
        <f>+_xlfn.XLOOKUP($N51,'[1]Cbonds export 05.20.2025'!$K:$K,'[1]Cbonds export 05.20.2025'!$J:$J,1,0,1)</f>
        <v>2000</v>
      </c>
      <c r="N51" s="15" t="s">
        <v>101</v>
      </c>
      <c r="O51" s="16">
        <v>823936000</v>
      </c>
      <c r="P51" s="17" t="s">
        <v>161</v>
      </c>
    </row>
    <row r="52" spans="1:16">
      <c r="A52" s="8" t="str">
        <f>+_xlfn.XLOOKUP($N52,'[1]Cbonds export 05.20.2025'!$K:$K,'[1]Cbonds export 05.20.2025'!$B:$B,1,0,1)</f>
        <v>British American Tobacco</v>
      </c>
      <c r="B52" s="9" t="str">
        <f>+_xlfn.XLOOKUP($N52,'[1]Cbonds export 05.20.2025'!$K:$K,'[1]Cbonds export 05.20.2025'!$C:$C,1,0,1)</f>
        <v>Tobacco</v>
      </c>
      <c r="C52" s="9" t="s">
        <v>102</v>
      </c>
      <c r="D52" s="9" t="s">
        <v>12</v>
      </c>
      <c r="E52" s="9" t="str">
        <f>+_xlfn.XLOOKUP($N52,'[1]Cbonds export 05.20.2025'!$K:$K,'[1]Cbonds export 05.20.2025'!$D:$D,1,0,1)</f>
        <v>Baa1/BBB+/BBB+</v>
      </c>
      <c r="F52" s="10">
        <f>+_xlfn.XLOOKUP($N52,'[1]Cbonds export 05.20.2025'!$K:$K,'[1]Cbonds export 05.20.2025'!$F:$F,1,0,1)</f>
        <v>2.726E-2</v>
      </c>
      <c r="G52" s="11" t="str">
        <f>+_xlfn.XLOOKUP($N52,'[1]Cbonds export 05.20.2025'!$K:$K,'[1]Cbonds export 05.20.2025'!$G:$G,1,0,1)</f>
        <v>25/03/2031</v>
      </c>
      <c r="H52" s="12">
        <f t="shared" si="0"/>
        <v>2031</v>
      </c>
      <c r="I52" s="13">
        <v>91.26</v>
      </c>
      <c r="J52" s="13">
        <v>4.8767534636613004</v>
      </c>
      <c r="K52" s="13">
        <v>69.125403489383004</v>
      </c>
      <c r="L52" s="13">
        <v>4.7999393948671001</v>
      </c>
      <c r="M52" s="14">
        <f>+_xlfn.XLOOKUP($N52,'[1]Cbonds export 05.20.2025'!$K:$K,'[1]Cbonds export 05.20.2025'!$J:$J,1,0,1)</f>
        <v>2000</v>
      </c>
      <c r="N52" s="15" t="s">
        <v>103</v>
      </c>
      <c r="O52" s="16">
        <v>1250000000</v>
      </c>
      <c r="P52" s="17" t="s">
        <v>161</v>
      </c>
    </row>
    <row r="53" spans="1:16">
      <c r="A53" s="8" t="str">
        <f>+_xlfn.XLOOKUP($N53,'[1]Cbonds export 05.20.2025'!$K:$K,'[1]Cbonds export 05.20.2025'!$B:$B,1,0,1)</f>
        <v>EQT</v>
      </c>
      <c r="B53" s="9" t="str">
        <f>+_xlfn.XLOOKUP($N53,'[1]Cbonds export 05.20.2025'!$K:$K,'[1]Cbonds export 05.20.2025'!$C:$C,1,0,1)</f>
        <v>Oil and Gas Extraction and Refining</v>
      </c>
      <c r="C53" s="9" t="s">
        <v>75</v>
      </c>
      <c r="D53" s="20" t="s">
        <v>12</v>
      </c>
      <c r="E53" s="9" t="str">
        <f>+_xlfn.XLOOKUP($N53,'[1]Cbonds export 05.20.2025'!$K:$K,'[1]Cbonds export 05.20.2025'!$D:$D,1,0,1)</f>
        <v>Withdrawn/BBB-/BBB-</v>
      </c>
      <c r="F53" s="10">
        <f>+_xlfn.XLOOKUP($N53,'[1]Cbonds export 05.20.2025'!$K:$K,'[1]Cbonds export 05.20.2025'!$F:$F,1,0,1)</f>
        <v>3.6249999999999998E-2</v>
      </c>
      <c r="G53" s="11" t="str">
        <f>+_xlfn.XLOOKUP($N53,'[1]Cbonds export 05.20.2025'!$K:$K,'[1]Cbonds export 05.20.2025'!$G:$G,1,0,1)</f>
        <v>15/05/2031</v>
      </c>
      <c r="H53" s="12">
        <f t="shared" si="0"/>
        <v>2031</v>
      </c>
      <c r="I53" s="13">
        <v>93.474999999999994</v>
      </c>
      <c r="J53" s="13">
        <v>5.2268554977413002</v>
      </c>
      <c r="K53" s="13">
        <v>103.85503999808</v>
      </c>
      <c r="L53" s="13">
        <v>5.0978896042555002</v>
      </c>
      <c r="M53" s="14">
        <f>+_xlfn.XLOOKUP($N53,'[1]Cbonds export 05.20.2025'!$K:$K,'[1]Cbonds export 05.20.2025'!$J:$J,1,0,1)</f>
        <v>2000</v>
      </c>
      <c r="N53" s="15" t="s">
        <v>104</v>
      </c>
      <c r="O53" s="16">
        <v>500000000</v>
      </c>
      <c r="P53" s="17" t="s">
        <v>161</v>
      </c>
    </row>
    <row r="54" spans="1:16">
      <c r="A54" s="21" t="str">
        <f>+_xlfn.XLOOKUP($N54,'[1]Cbonds export 05.20.2025'!$K:$K,'[1]Cbonds export 05.20.2025'!$B:$B,1,0,1)</f>
        <v>Whirlpool</v>
      </c>
      <c r="B54" s="22" t="str">
        <f>+_xlfn.XLOOKUP($N54,'[1]Cbonds export 05.20.2025'!$K:$K,'[1]Cbonds export 05.20.2025'!$C:$C,1,0,1)</f>
        <v>Domestic Appliances</v>
      </c>
      <c r="C54" s="22" t="s">
        <v>105</v>
      </c>
      <c r="D54" s="22" t="s">
        <v>21</v>
      </c>
      <c r="E54" s="22" t="s">
        <v>106</v>
      </c>
      <c r="F54" s="23">
        <f>+_xlfn.XLOOKUP($N54,'[1]Cbonds export 05.20.2025'!$K:$K,'[1]Cbonds export 05.20.2025'!$F:$F,1,0,1)</f>
        <v>2.4E-2</v>
      </c>
      <c r="G54" s="24" t="str">
        <f>+_xlfn.XLOOKUP($N54,'[1]Cbonds export 05.20.2025'!$K:$K,'[1]Cbonds export 05.20.2025'!$G:$G,1,0,1)</f>
        <v>15/05/2031</v>
      </c>
      <c r="H54" s="25">
        <f t="shared" si="0"/>
        <v>2031</v>
      </c>
      <c r="I54" s="26">
        <v>74.83</v>
      </c>
      <c r="J54" s="26">
        <v>9.0926741364232999</v>
      </c>
      <c r="K54" s="26">
        <v>489.94439984998002</v>
      </c>
      <c r="L54" s="26">
        <v>8.6660091505333998</v>
      </c>
      <c r="M54" s="27">
        <f>+_xlfn.XLOOKUP($N54,'[1]Cbonds export 05.20.2025'!$K:$K,'[1]Cbonds export 05.20.2025'!$J:$J,1,0,1)</f>
        <v>2000</v>
      </c>
      <c r="N54" s="28" t="s">
        <v>107</v>
      </c>
      <c r="O54" s="29">
        <v>300000000</v>
      </c>
      <c r="P54" s="17" t="s">
        <v>173</v>
      </c>
    </row>
    <row r="55" spans="1:16">
      <c r="A55" s="8" t="str">
        <f>+_xlfn.XLOOKUP($N55,'[1]Cbonds export 05.20.2025'!$K:$K,'[1]Cbonds export 05.20.2025'!$B:$B,1,0,1)</f>
        <v>Occidental Petroleum</v>
      </c>
      <c r="B55" s="9" t="str">
        <f>+_xlfn.XLOOKUP($N55,'[1]Cbonds export 05.20.2025'!$K:$K,'[1]Cbonds export 05.20.2025'!$C:$C,1,0,1)</f>
        <v>Oil and Gas Extraction and Refining</v>
      </c>
      <c r="C55" s="9" t="s">
        <v>108</v>
      </c>
      <c r="D55" s="9" t="s">
        <v>21</v>
      </c>
      <c r="E55" s="9" t="s">
        <v>109</v>
      </c>
      <c r="F55" s="36">
        <f>+_xlfn.XLOOKUP($N55,'[1]Cbonds export 05.20.2025'!$K:$K,'[1]Cbonds export 05.20.2025'!$F:$F,1,0,1)</f>
        <v>7.8750000000000001E-2</v>
      </c>
      <c r="G55" s="11" t="str">
        <f>+_xlfn.XLOOKUP($N55,'[1]Cbonds export 05.20.2025'!$K:$K,'[1]Cbonds export 05.20.2025'!$G:$G,1,0,1)</f>
        <v>15/09/2031</v>
      </c>
      <c r="H55" s="12">
        <f t="shared" si="0"/>
        <v>2031</v>
      </c>
      <c r="I55" s="13">
        <v>112.6699</v>
      </c>
      <c r="J55" s="13">
        <v>5.1303234644179003</v>
      </c>
      <c r="K55" s="13">
        <v>94.948125726268998</v>
      </c>
      <c r="L55" s="13">
        <v>4.9498674514266998</v>
      </c>
      <c r="M55" s="14">
        <f>+_xlfn.XLOOKUP($N55,'[1]Cbonds export 05.20.2025'!$K:$K,'[1]Cbonds export 05.20.2025'!$J:$J,1,0,1)</f>
        <v>1000</v>
      </c>
      <c r="N55" s="15" t="s">
        <v>110</v>
      </c>
      <c r="O55" s="16">
        <v>484677000</v>
      </c>
      <c r="P55" s="17" t="s">
        <v>161</v>
      </c>
    </row>
    <row r="56" spans="1:16">
      <c r="A56" s="21" t="str">
        <f>+_xlfn.XLOOKUP($N56,'[1]Cbonds export 05.20.2025'!$K:$K,'[1]Cbonds export 05.20.2025'!$B:$B,1,0,1)</f>
        <v>Falabella</v>
      </c>
      <c r="B56" s="22" t="str">
        <f>+_xlfn.XLOOKUP($N56,'[1]Cbonds export 05.20.2025'!$K:$K,'[1]Cbonds export 05.20.2025'!$C:$C,1,0,1)</f>
        <v>Specialty Retailers</v>
      </c>
      <c r="C56" s="22" t="s">
        <v>155</v>
      </c>
      <c r="D56" s="22" t="s">
        <v>21</v>
      </c>
      <c r="E56" s="22" t="s">
        <v>158</v>
      </c>
      <c r="F56" s="23">
        <f>+_xlfn.XLOOKUP($N56,'[1]Cbonds export 05.20.2025'!$K:$K,'[1]Cbonds export 05.20.2025'!$F:$F,1,0,1)</f>
        <v>3.3750000000000002E-2</v>
      </c>
      <c r="G56" s="24" t="str">
        <f>+_xlfn.XLOOKUP($N56,'[1]Cbonds export 05.20.2025'!$K:$K,'[1]Cbonds export 05.20.2025'!$G:$G,1,0,1)</f>
        <v>15/01/2032</v>
      </c>
      <c r="H56" s="25">
        <f t="shared" si="0"/>
        <v>2032</v>
      </c>
      <c r="I56" s="26">
        <v>90.457499999999996</v>
      </c>
      <c r="J56" s="26">
        <v>5.4688768811572004</v>
      </c>
      <c r="K56" s="26">
        <v>125.09910315875</v>
      </c>
      <c r="L56" s="26">
        <v>5.3674177412753004</v>
      </c>
      <c r="M56" s="27">
        <f>+_xlfn.XLOOKUP($N56,'[1]Cbonds export 05.20.2025'!$K:$K,'[1]Cbonds export 05.20.2025'!$J:$J,1,0,1)</f>
        <v>200000</v>
      </c>
      <c r="N56" s="28" t="s">
        <v>159</v>
      </c>
      <c r="O56" s="29">
        <v>650000000</v>
      </c>
      <c r="P56" s="17" t="s">
        <v>161</v>
      </c>
    </row>
    <row r="57" spans="1:16">
      <c r="A57" s="19" t="s">
        <v>93</v>
      </c>
      <c r="B57" s="9" t="s">
        <v>92</v>
      </c>
      <c r="C57" s="9" t="s">
        <v>93</v>
      </c>
      <c r="D57" s="9" t="s">
        <v>12</v>
      </c>
      <c r="E57" s="9" t="s">
        <v>43</v>
      </c>
      <c r="F57" s="36">
        <v>4.2790000000000002E-2</v>
      </c>
      <c r="G57" s="11">
        <v>48288</v>
      </c>
      <c r="H57" s="12">
        <f t="shared" si="0"/>
        <v>2032</v>
      </c>
      <c r="I57" s="13">
        <v>90.445499999999996</v>
      </c>
      <c r="J57" s="13">
        <v>6.4012437882361999</v>
      </c>
      <c r="K57" s="13">
        <v>218.13974059820001</v>
      </c>
      <c r="L57" s="13">
        <v>6.2331151566388003</v>
      </c>
      <c r="M57" s="14">
        <v>2000</v>
      </c>
      <c r="N57" s="15" t="s">
        <v>111</v>
      </c>
      <c r="O57" s="16">
        <v>2760600000</v>
      </c>
      <c r="P57" s="17" t="s">
        <v>161</v>
      </c>
    </row>
    <row r="58" spans="1:16">
      <c r="A58" s="8" t="str">
        <f>+_xlfn.XLOOKUP($N58,'[1]Cbonds export 05.20.2025'!$K:$K,'[1]Cbonds export 05.20.2025'!$B:$B,1,0,1)</f>
        <v>Tapestry</v>
      </c>
      <c r="B58" s="9" t="str">
        <f>+_xlfn.XLOOKUP($N58,'[1]Cbonds export 05.20.2025'!$K:$K,'[1]Cbonds export 05.20.2025'!$C:$C,1,0,1)</f>
        <v>Specialty Retailers</v>
      </c>
      <c r="C58" s="9" t="s">
        <v>112</v>
      </c>
      <c r="D58" s="9" t="s">
        <v>12</v>
      </c>
      <c r="E58" s="9" t="str">
        <f>+_xlfn.XLOOKUP($N58,'[1]Cbonds export 05.20.2025'!$K:$K,'[1]Cbonds export 05.20.2025'!$D:$D,1,0,1)</f>
        <v>Baa2/BBB/Withdrawn</v>
      </c>
      <c r="F58" s="36">
        <f>+_xlfn.XLOOKUP($N58,'[1]Cbonds export 05.20.2025'!$K:$K,'[1]Cbonds export 05.20.2025'!$F:$F,1,0,1)</f>
        <v>3.0499999999999999E-2</v>
      </c>
      <c r="G58" s="11" t="str">
        <f>+_xlfn.XLOOKUP($N58,'[1]Cbonds export 05.20.2025'!$K:$K,'[1]Cbonds export 05.20.2025'!$G:$G,1,0,1)</f>
        <v>15/03/2032</v>
      </c>
      <c r="H58" s="12">
        <f t="shared" si="0"/>
        <v>2032</v>
      </c>
      <c r="I58" s="13">
        <v>90.4</v>
      </c>
      <c r="J58" s="13">
        <v>5.0720630206267003</v>
      </c>
      <c r="K58" s="13">
        <v>84.111858144086</v>
      </c>
      <c r="L58" s="13">
        <v>4.9921546996049999</v>
      </c>
      <c r="M58" s="14">
        <f>+_xlfn.XLOOKUP($N58,'[1]Cbonds export 05.20.2025'!$K:$K,'[1]Cbonds export 05.20.2025'!$J:$J,1,0,1)</f>
        <v>2000</v>
      </c>
      <c r="N58" s="15" t="s">
        <v>113</v>
      </c>
      <c r="O58" s="16">
        <v>500000000</v>
      </c>
      <c r="P58" s="17" t="s">
        <v>161</v>
      </c>
    </row>
    <row r="59" spans="1:16">
      <c r="A59" s="8" t="str">
        <f>+_xlfn.XLOOKUP($N59,'[1]Cbonds export 05.20.2025'!$K:$K,'[1]Cbonds export 05.20.2025'!$B:$B,1,0,1)</f>
        <v>Occidental Petroleum</v>
      </c>
      <c r="B59" s="9" t="str">
        <f>+_xlfn.XLOOKUP($N59,'[1]Cbonds export 05.20.2025'!$K:$K,'[1]Cbonds export 05.20.2025'!$C:$C,1,0,1)</f>
        <v>Oil and Gas Extraction and Refining</v>
      </c>
      <c r="C59" s="9" t="s">
        <v>108</v>
      </c>
      <c r="D59" s="9" t="s">
        <v>21</v>
      </c>
      <c r="E59" s="9" t="str">
        <f>+_xlfn.XLOOKUP($N59,'[1]Cbonds export 05.20.2025'!$K:$K,'[1]Cbonds export 05.20.2025'!$D:$D,1,0,1)</f>
        <v>Withdrawn/BB+/BBB-</v>
      </c>
      <c r="F59" s="36">
        <f>+_xlfn.XLOOKUP($N59,'[1]Cbonds export 05.20.2025'!$K:$K,'[1]Cbonds export 05.20.2025'!$F:$F,1,0,1)</f>
        <v>5.3749999999999999E-2</v>
      </c>
      <c r="G59" s="11">
        <f>+_xlfn.XLOOKUP($N59,'[1]Cbonds export 05.20.2025'!$K:$K,'[1]Cbonds export 05.20.2025'!$G:$G,1,0,1)</f>
        <v>48214</v>
      </c>
      <c r="H59" s="12">
        <f t="shared" si="0"/>
        <v>2032</v>
      </c>
      <c r="I59" s="13">
        <v>101.77</v>
      </c>
      <c r="J59" s="13">
        <v>5.0642586010107999</v>
      </c>
      <c r="K59" s="13">
        <v>85.485963290301001</v>
      </c>
      <c r="L59" s="13">
        <v>4.8638137088405999</v>
      </c>
      <c r="M59" s="14">
        <f>+_xlfn.XLOOKUP($N59,'[1]Cbonds export 05.20.2025'!$K:$K,'[1]Cbonds export 05.20.2025'!$J:$J,1,0,1)</f>
        <v>2000</v>
      </c>
      <c r="N59" s="15" t="s">
        <v>114</v>
      </c>
      <c r="O59" s="16">
        <v>1000000000</v>
      </c>
      <c r="P59" s="17" t="s">
        <v>161</v>
      </c>
    </row>
    <row r="60" spans="1:16">
      <c r="A60" s="19" t="str">
        <f>+_xlfn.XLOOKUP($N60,'[1]Cbonds export 05.20.2025'!$K:$K,'[1]Cbonds export 05.20.2025'!$B:$B,1,0,1)</f>
        <v>Methanex US Operations</v>
      </c>
      <c r="B60" s="20" t="str">
        <f>+_xlfn.XLOOKUP($N60,'[1]Cbonds export 05.20.2025'!$K:$K,'[1]Cbonds export 05.20.2025'!$C:$C,1,0,1)</f>
        <v>Food and Beverage Production</v>
      </c>
      <c r="C60" s="20" t="s">
        <v>52</v>
      </c>
      <c r="D60" s="20" t="s">
        <v>21</v>
      </c>
      <c r="E60" s="20" t="str">
        <f>+_xlfn.XLOOKUP($N60,'[1]Cbonds export 05.20.2025'!$K:$K,'[1]Cbonds export 05.20.2025'!$D:$D,1,0,1)</f>
        <v>-/-/BB+</v>
      </c>
      <c r="F60" s="32">
        <f>+_xlfn.XLOOKUP($N60,'[1]Cbonds export 05.20.2025'!$K:$K,'[1]Cbonds export 05.20.2025'!$F:$F,1,0,1)</f>
        <v>6.25E-2</v>
      </c>
      <c r="G60" s="33" t="str">
        <f>+_xlfn.XLOOKUP($N60,'[1]Cbonds export 05.20.2025'!$K:$K,'[1]Cbonds export 05.20.2025'!$G:$G,1,0,1)</f>
        <v>15/03/2032</v>
      </c>
      <c r="H60" s="12">
        <f t="shared" si="0"/>
        <v>2032</v>
      </c>
      <c r="I60" s="13">
        <v>101.011</v>
      </c>
      <c r="J60" s="13">
        <v>6.1261381346982002</v>
      </c>
      <c r="K60" s="13">
        <v>191.88007492214001</v>
      </c>
      <c r="L60" s="13">
        <v>5.8657497923847002</v>
      </c>
      <c r="M60" s="14">
        <f>+_xlfn.XLOOKUP($N60,'[1]Cbonds export 05.20.2025'!$K:$K,'[1]Cbonds export 05.20.2025'!$J:$J,1,0,1)</f>
        <v>2000</v>
      </c>
      <c r="N60" s="35" t="s">
        <v>115</v>
      </c>
      <c r="O60" s="16">
        <v>600000000</v>
      </c>
      <c r="P60" s="17" t="s">
        <v>161</v>
      </c>
    </row>
    <row r="61" spans="1:16">
      <c r="A61" s="8" t="str">
        <f>+_xlfn.XLOOKUP($N61,'[1]Cbonds export 05.20.2025'!$K:$K,'[1]Cbonds export 05.20.2025'!$B:$B,1,0,1)</f>
        <v>British American Tobacco</v>
      </c>
      <c r="B61" s="9" t="str">
        <f>+_xlfn.XLOOKUP($N61,'[1]Cbonds export 05.20.2025'!$K:$K,'[1]Cbonds export 05.20.2025'!$C:$C,1,0,1)</f>
        <v>Tobacco</v>
      </c>
      <c r="C61" s="9" t="s">
        <v>102</v>
      </c>
      <c r="D61" s="9" t="s">
        <v>12</v>
      </c>
      <c r="E61" s="9" t="str">
        <f>+_xlfn.XLOOKUP($N61,'[1]Cbonds export 05.20.2025'!$K:$K,'[1]Cbonds export 05.20.2025'!$D:$D,1,0,1)</f>
        <v>Baa1/BBB+/BBB+</v>
      </c>
      <c r="F61" s="36">
        <f>+_xlfn.XLOOKUP($N61,'[1]Cbonds export 05.20.2025'!$K:$K,'[1]Cbonds export 05.20.2025'!$F:$F,1,0,1)</f>
        <v>4.7419999999999997E-2</v>
      </c>
      <c r="G61" s="11" t="str">
        <f>+_xlfn.XLOOKUP($N61,'[1]Cbonds export 05.20.2025'!$K:$K,'[1]Cbonds export 05.20.2025'!$G:$G,1,0,1)</f>
        <v>16/03/2032</v>
      </c>
      <c r="H61" s="12">
        <f t="shared" si="0"/>
        <v>2032</v>
      </c>
      <c r="I61" s="13">
        <v>99.3155</v>
      </c>
      <c r="J61" s="13">
        <v>4.9393697303708999</v>
      </c>
      <c r="K61" s="13">
        <v>72.074971640130002</v>
      </c>
      <c r="L61" s="13">
        <v>4.8443604233849999</v>
      </c>
      <c r="M61" s="14">
        <f>+_xlfn.XLOOKUP($N61,'[1]Cbonds export 05.20.2025'!$K:$K,'[1]Cbonds export 05.20.2025'!$J:$J,1,0,1)</f>
        <v>2000</v>
      </c>
      <c r="N61" s="15" t="s">
        <v>116</v>
      </c>
      <c r="O61" s="16">
        <v>900000000</v>
      </c>
      <c r="P61" s="17" t="s">
        <v>161</v>
      </c>
    </row>
    <row r="62" spans="1:16">
      <c r="A62" s="21" t="str">
        <f>+_xlfn.XLOOKUP($N62,'[1]Cbonds export 05.20.2025'!$K:$K,'[1]Cbonds export 05.20.2025'!$B:$B,1,0,1)</f>
        <v>Whirlpool</v>
      </c>
      <c r="B62" s="22" t="str">
        <f>+_xlfn.XLOOKUP($N62,'[1]Cbonds export 05.20.2025'!$K:$K,'[1]Cbonds export 05.20.2025'!$C:$C,1,0,1)</f>
        <v>Domestic Appliances</v>
      </c>
      <c r="C62" s="22" t="s">
        <v>105</v>
      </c>
      <c r="D62" s="22" t="s">
        <v>21</v>
      </c>
      <c r="E62" s="22" t="s">
        <v>117</v>
      </c>
      <c r="F62" s="23">
        <f>+_xlfn.XLOOKUP($N62,'[1]Cbonds export 05.20.2025'!$K:$K,'[1]Cbonds export 05.20.2025'!$F:$F,1,0,1)</f>
        <v>4.7E-2</v>
      </c>
      <c r="G62" s="24" t="str">
        <f>+_xlfn.XLOOKUP($N62,'[1]Cbonds export 05.20.2025'!$K:$K,'[1]Cbonds export 05.20.2025'!$G:$G,1,0,1)</f>
        <v>14/05/2032</v>
      </c>
      <c r="H62" s="25">
        <f t="shared" si="0"/>
        <v>2032</v>
      </c>
      <c r="I62" s="26">
        <v>79.400000000000006</v>
      </c>
      <c r="J62" s="26">
        <v>9.5653205508415997</v>
      </c>
      <c r="K62" s="26">
        <v>534.30350032287004</v>
      </c>
      <c r="L62" s="26">
        <v>9.3807757333051001</v>
      </c>
      <c r="M62" s="27">
        <f>+_xlfn.XLOOKUP($N62,'[1]Cbonds export 05.20.2025'!$K:$K,'[1]Cbonds export 05.20.2025'!$J:$J,1,0,1)</f>
        <v>2000</v>
      </c>
      <c r="N62" s="38" t="s">
        <v>118</v>
      </c>
      <c r="O62" s="29">
        <v>300000000</v>
      </c>
      <c r="P62" s="17" t="s">
        <v>173</v>
      </c>
    </row>
    <row r="63" spans="1:16">
      <c r="A63" s="8" t="s">
        <v>119</v>
      </c>
      <c r="B63" s="9" t="s">
        <v>42</v>
      </c>
      <c r="C63" s="9" t="s">
        <v>119</v>
      </c>
      <c r="D63" s="9" t="s">
        <v>12</v>
      </c>
      <c r="E63" s="9" t="s">
        <v>17</v>
      </c>
      <c r="F63" s="36">
        <v>4.7500000000000001E-2</v>
      </c>
      <c r="G63" s="11">
        <v>48215</v>
      </c>
      <c r="H63" s="12">
        <f t="shared" si="0"/>
        <v>2032</v>
      </c>
      <c r="I63" s="13">
        <v>97.382000000000005</v>
      </c>
      <c r="J63" s="13">
        <v>5.3686118665361002</v>
      </c>
      <c r="K63" s="13">
        <v>115.79947915907999</v>
      </c>
      <c r="L63" s="13">
        <v>5.2686449671825999</v>
      </c>
      <c r="M63" s="14">
        <v>2000</v>
      </c>
      <c r="N63" s="15" t="s">
        <v>120</v>
      </c>
      <c r="O63" s="16">
        <v>1150000000</v>
      </c>
      <c r="P63" s="17" t="s">
        <v>161</v>
      </c>
    </row>
    <row r="64" spans="1:16">
      <c r="A64" s="8" t="str">
        <f>+_xlfn.XLOOKUP($N64,'[1]Cbonds export 05.20.2025'!$K:$K,'[1]Cbonds export 05.20.2025'!$B:$B,1,0,1)</f>
        <v>Micron Technology</v>
      </c>
      <c r="B64" s="9" t="str">
        <f>+_xlfn.XLOOKUP($N64,'[1]Cbonds export 05.20.2025'!$K:$K,'[1]Cbonds export 05.20.2025'!$C:$C,1,0,1)</f>
        <v>Semiconductors</v>
      </c>
      <c r="C64" s="9" t="s">
        <v>99</v>
      </c>
      <c r="D64" s="9" t="s">
        <v>12</v>
      </c>
      <c r="E64" s="9" t="s">
        <v>121</v>
      </c>
      <c r="F64" s="36">
        <f>+_xlfn.XLOOKUP($N64,'[1]Cbonds export 05.20.2025'!$K:$K,'[1]Cbonds export 05.20.2025'!$F:$F,1,0,1)</f>
        <v>5.6500000000000002E-2</v>
      </c>
      <c r="G64" s="11">
        <f>+_xlfn.XLOOKUP($N64,'[1]Cbonds export 05.20.2025'!$K:$K,'[1]Cbonds export 05.20.2025'!$G:$G,1,0,1)</f>
        <v>48224</v>
      </c>
      <c r="H64" s="12">
        <f t="shared" si="0"/>
        <v>2032</v>
      </c>
      <c r="I64" s="13">
        <v>103.16925000000001</v>
      </c>
      <c r="J64" s="13">
        <v>5.1199812746477997</v>
      </c>
      <c r="K64" s="13">
        <v>87.806085161064004</v>
      </c>
      <c r="L64" s="13">
        <v>5.0980394520193997</v>
      </c>
      <c r="M64" s="14">
        <f>+_xlfn.XLOOKUP($N64,'[1]Cbonds export 05.20.2025'!$K:$K,'[1]Cbonds export 05.20.2025'!$J:$J,1,0,1)</f>
        <v>2000</v>
      </c>
      <c r="N64" s="15" t="s">
        <v>122</v>
      </c>
      <c r="O64" s="16">
        <v>500000000</v>
      </c>
      <c r="P64" s="17" t="s">
        <v>161</v>
      </c>
    </row>
    <row r="65" spans="1:16">
      <c r="A65" s="8" t="s">
        <v>140</v>
      </c>
      <c r="B65" s="9" t="s">
        <v>42</v>
      </c>
      <c r="C65" s="9" t="str">
        <f>+A65</f>
        <v>HF Sinclair</v>
      </c>
      <c r="D65" s="9" t="s">
        <v>12</v>
      </c>
      <c r="E65" s="9" t="s">
        <v>17</v>
      </c>
      <c r="F65" s="10">
        <v>5.5E-2</v>
      </c>
      <c r="G65" s="11">
        <v>48458</v>
      </c>
      <c r="H65" s="12">
        <v>2032</v>
      </c>
      <c r="I65" s="13">
        <v>101.663</v>
      </c>
      <c r="J65" s="13">
        <v>5.2464322657264004</v>
      </c>
      <c r="K65" s="13">
        <v>101.38634535505</v>
      </c>
      <c r="L65" s="13">
        <v>5.3856085213808997</v>
      </c>
      <c r="M65" s="14">
        <v>2000</v>
      </c>
      <c r="N65" s="15" t="s">
        <v>123</v>
      </c>
      <c r="O65" s="16">
        <v>500000000</v>
      </c>
      <c r="P65" s="17" t="s">
        <v>161</v>
      </c>
    </row>
    <row r="66" spans="1:16">
      <c r="A66" s="8" t="s">
        <v>139</v>
      </c>
      <c r="B66" s="9" t="s">
        <v>34</v>
      </c>
      <c r="C66" s="9" t="str">
        <f>+A66</f>
        <v>Macy´s</v>
      </c>
      <c r="D66" s="9" t="s">
        <v>21</v>
      </c>
      <c r="E66" s="9" t="s">
        <v>77</v>
      </c>
      <c r="F66" s="36">
        <v>6.9000000000000006E-2</v>
      </c>
      <c r="G66" s="11">
        <v>48349</v>
      </c>
      <c r="H66" s="12">
        <v>2032</v>
      </c>
      <c r="I66" s="13">
        <v>96.5</v>
      </c>
      <c r="J66" s="13">
        <v>7.8368882215886</v>
      </c>
      <c r="K66" s="13">
        <v>364.54290681703998</v>
      </c>
      <c r="L66" s="13">
        <v>7.8280887021760002</v>
      </c>
      <c r="M66" s="14">
        <v>1000</v>
      </c>
      <c r="N66" s="15" t="s">
        <v>124</v>
      </c>
      <c r="O66" s="16">
        <v>250000000</v>
      </c>
      <c r="P66" s="17" t="s">
        <v>161</v>
      </c>
    </row>
    <row r="67" spans="1:16">
      <c r="A67" s="39" t="s">
        <v>102</v>
      </c>
      <c r="B67" s="9" t="s">
        <v>125</v>
      </c>
      <c r="C67" s="9" t="s">
        <v>102</v>
      </c>
      <c r="D67" s="9" t="s">
        <v>12</v>
      </c>
      <c r="E67" s="20" t="s">
        <v>126</v>
      </c>
      <c r="F67" s="40">
        <v>6.4210000000000003E-2</v>
      </c>
      <c r="G67" s="33">
        <v>48793</v>
      </c>
      <c r="H67" s="41">
        <v>2033</v>
      </c>
      <c r="I67" s="13">
        <v>107.76</v>
      </c>
      <c r="J67" s="13">
        <v>5.1640210219803997</v>
      </c>
      <c r="K67" s="13">
        <v>90.100799827076997</v>
      </c>
      <c r="L67" s="13">
        <v>5.0918269119830004</v>
      </c>
      <c r="M67" s="34">
        <v>2000</v>
      </c>
      <c r="N67" s="35" t="s">
        <v>127</v>
      </c>
      <c r="O67" s="42">
        <v>1250000000</v>
      </c>
      <c r="P67" s="17" t="s">
        <v>161</v>
      </c>
    </row>
    <row r="68" spans="1:16">
      <c r="A68" s="8" t="s">
        <v>108</v>
      </c>
      <c r="B68" s="9" t="s">
        <v>134</v>
      </c>
      <c r="C68" s="9" t="s">
        <v>108</v>
      </c>
      <c r="D68" s="9" t="s">
        <v>21</v>
      </c>
      <c r="E68" s="9" t="s">
        <v>151</v>
      </c>
      <c r="F68" s="10">
        <v>5.6000000000000001E-2</v>
      </c>
      <c r="G68" s="11">
        <v>49218</v>
      </c>
      <c r="H68" s="12">
        <v>2034</v>
      </c>
      <c r="I68" s="13">
        <v>101.79</v>
      </c>
      <c r="J68" s="13">
        <v>5.3474082910789997</v>
      </c>
      <c r="K68" s="13">
        <v>102.32605446818</v>
      </c>
      <c r="L68" s="13">
        <v>5.1724981641551997</v>
      </c>
      <c r="M68" s="14">
        <v>1000</v>
      </c>
      <c r="N68" s="15" t="s">
        <v>154</v>
      </c>
      <c r="O68" s="16">
        <v>1200000000</v>
      </c>
      <c r="P68" s="17" t="s">
        <v>161</v>
      </c>
    </row>
    <row r="69" spans="1:16">
      <c r="A69" s="39" t="s">
        <v>69</v>
      </c>
      <c r="B69" s="9" t="s">
        <v>68</v>
      </c>
      <c r="C69" s="9" t="s">
        <v>69</v>
      </c>
      <c r="D69" s="9" t="s">
        <v>12</v>
      </c>
      <c r="E69" s="9" t="s">
        <v>70</v>
      </c>
      <c r="F69" s="10">
        <v>5.3999999999999999E-2</v>
      </c>
      <c r="G69" s="11">
        <v>49589</v>
      </c>
      <c r="H69" s="12">
        <f>YEAR(G69)</f>
        <v>2035</v>
      </c>
      <c r="I69" s="13">
        <v>96.627459999999999</v>
      </c>
      <c r="J69" s="13">
        <v>5.9627747994528999</v>
      </c>
      <c r="K69" s="13">
        <v>159.65978946299001</v>
      </c>
      <c r="L69" s="13">
        <v>5.7431229949776004</v>
      </c>
      <c r="M69" s="14">
        <v>2000</v>
      </c>
      <c r="N69" s="15" t="s">
        <v>128</v>
      </c>
      <c r="O69" s="16">
        <v>600000000</v>
      </c>
      <c r="P69" s="17" t="s">
        <v>161</v>
      </c>
    </row>
    <row r="70" spans="1:16">
      <c r="A70" s="8" t="s">
        <v>83</v>
      </c>
      <c r="B70" s="9" t="s">
        <v>129</v>
      </c>
      <c r="C70" s="9" t="s">
        <v>83</v>
      </c>
      <c r="D70" s="9" t="s">
        <v>12</v>
      </c>
      <c r="E70" s="9" t="s">
        <v>57</v>
      </c>
      <c r="F70" s="10">
        <v>5.9799999999999999E-2</v>
      </c>
      <c r="G70" s="11">
        <v>49351</v>
      </c>
      <c r="H70" s="12">
        <v>2035</v>
      </c>
      <c r="I70" s="13">
        <v>104.18174999999999</v>
      </c>
      <c r="J70" s="13">
        <v>5.4373842285820997</v>
      </c>
      <c r="K70" s="13">
        <v>110.72756212295999</v>
      </c>
      <c r="L70" s="13">
        <v>5.3727784157435998</v>
      </c>
      <c r="M70" s="14">
        <v>2000</v>
      </c>
      <c r="N70" s="15" t="s">
        <v>130</v>
      </c>
      <c r="O70" s="16">
        <v>650000000</v>
      </c>
      <c r="P70" s="17" t="s">
        <v>161</v>
      </c>
    </row>
    <row r="71" spans="1:16">
      <c r="A71" s="8" t="s">
        <v>112</v>
      </c>
      <c r="B71" s="9" t="s">
        <v>34</v>
      </c>
      <c r="C71" s="9" t="s">
        <v>112</v>
      </c>
      <c r="D71" s="9" t="s">
        <v>12</v>
      </c>
      <c r="E71" s="9" t="s">
        <v>131</v>
      </c>
      <c r="F71" s="36">
        <v>5.5E-2</v>
      </c>
      <c r="G71" s="11">
        <v>49379</v>
      </c>
      <c r="H71" s="12">
        <f>YEAR(G71)</f>
        <v>2035</v>
      </c>
      <c r="I71" s="13">
        <v>100.16</v>
      </c>
      <c r="J71" s="13">
        <v>5.5503247750032996</v>
      </c>
      <c r="K71" s="13">
        <v>120.89879267489</v>
      </c>
      <c r="L71" s="13">
        <v>5.4514660395618</v>
      </c>
      <c r="M71" s="14">
        <v>2000</v>
      </c>
      <c r="N71" s="15" t="s">
        <v>132</v>
      </c>
      <c r="O71" s="16">
        <v>750000000</v>
      </c>
      <c r="P71" s="17" t="s">
        <v>161</v>
      </c>
    </row>
    <row r="72" spans="1:16">
      <c r="A72" s="8" t="s">
        <v>119</v>
      </c>
      <c r="B72" s="9" t="s">
        <v>42</v>
      </c>
      <c r="C72" s="9" t="s">
        <v>119</v>
      </c>
      <c r="D72" s="9" t="s">
        <v>12</v>
      </c>
      <c r="E72" s="9" t="s">
        <v>17</v>
      </c>
      <c r="F72" s="36">
        <v>5.7000000000000002E-2</v>
      </c>
      <c r="G72" s="11">
        <v>49324</v>
      </c>
      <c r="H72" s="12">
        <v>2035</v>
      </c>
      <c r="I72" s="13">
        <v>100.685</v>
      </c>
      <c r="J72" s="13">
        <v>5.6758894124054997</v>
      </c>
      <c r="K72" s="13">
        <v>134.82334868976</v>
      </c>
      <c r="L72" s="13">
        <v>5.5378214915232</v>
      </c>
      <c r="M72" s="14">
        <v>2000</v>
      </c>
      <c r="N72" s="15" t="s">
        <v>133</v>
      </c>
      <c r="O72" s="16">
        <v>750000000</v>
      </c>
      <c r="P72" s="17" t="s">
        <v>161</v>
      </c>
    </row>
  </sheetData>
  <conditionalFormatting sqref="N2:N72">
    <cfRule type="duplicateValues" dxfId="18" priority="1"/>
  </conditionalFormatting>
  <hyperlinks>
    <hyperlink ref="N2" r:id="rId1" xr:uid="{388245D2-8DD6-4087-A7F8-8040150E97BC}"/>
    <hyperlink ref="N3" r:id="rId2" xr:uid="{1787DBED-81D4-4512-AAE1-8A6C5F68FA76}"/>
    <hyperlink ref="N4" r:id="rId3" xr:uid="{45766180-88CA-4ED2-8074-5E44DD7FF760}"/>
    <hyperlink ref="N5" r:id="rId4" xr:uid="{19DB2657-953E-464A-94AA-8A3F053005E0}"/>
    <hyperlink ref="N6" r:id="rId5" xr:uid="{73578B1E-F8E6-43BB-B71A-B46047D81383}"/>
    <hyperlink ref="N7" r:id="rId6" xr:uid="{582207F9-DAF8-43D8-9B59-BCFF2B48FDE2}"/>
    <hyperlink ref="N8" r:id="rId7" xr:uid="{4AAB2268-075D-4F51-A04A-C8678B42D2AE}"/>
    <hyperlink ref="N9" r:id="rId8" xr:uid="{E3922AA0-2B8F-45D5-9AD6-A8019D713F7D}"/>
    <hyperlink ref="N10" r:id="rId9" xr:uid="{C0C72420-4E37-4A66-A87D-33C9BD4B0B3C}"/>
    <hyperlink ref="N11" r:id="rId10" xr:uid="{79AC8E65-7DCA-40C6-97D7-9B4B6BBC7AD1}"/>
    <hyperlink ref="N12" r:id="rId11" xr:uid="{9EDA0AEC-DB10-4D8D-AD14-9B689E212E67}"/>
    <hyperlink ref="N13" r:id="rId12" xr:uid="{AC85EA30-A42D-4D9B-B32E-4AF675012F32}"/>
    <hyperlink ref="N14" r:id="rId13" xr:uid="{DD39554D-E52F-428B-AACE-D8F876B2C92F}"/>
    <hyperlink ref="N15" r:id="rId14" xr:uid="{DA401183-C542-435A-A956-9F4E60264F43}"/>
    <hyperlink ref="N16" r:id="rId15" xr:uid="{DF95C386-399A-4BEE-9EE7-1A40DAA6AE88}"/>
    <hyperlink ref="N20" r:id="rId16" xr:uid="{08069BA9-9801-419C-825B-DB74431BCBB1}"/>
    <hyperlink ref="N21" r:id="rId17" xr:uid="{C44016D9-1BBE-4C21-95A5-CEA414857EFE}"/>
    <hyperlink ref="N22" r:id="rId18" xr:uid="{BCEE1BB4-7A08-4AAC-BE7A-C9FAA84A7CA0}"/>
    <hyperlink ref="N23" r:id="rId19" xr:uid="{D93BB35A-044D-4236-AF93-9D66EF392147}"/>
    <hyperlink ref="N24" r:id="rId20" xr:uid="{210C65A5-16B7-4F23-9E17-7E8EC7ECAE48}"/>
    <hyperlink ref="N25" r:id="rId21" xr:uid="{FA84CA0B-C26E-4E1C-94CA-792AF502D0E5}"/>
    <hyperlink ref="N26" r:id="rId22" xr:uid="{B1D1B7AB-AA6B-4EA9-9873-5AC34AD5B0EF}"/>
    <hyperlink ref="N28" r:id="rId23" xr:uid="{9B8AD11E-3831-40CA-9FDD-A6C142546664}"/>
    <hyperlink ref="N29" r:id="rId24" xr:uid="{41238C85-DA41-420E-8AE5-4133D4FA4531}"/>
    <hyperlink ref="N30" r:id="rId25" xr:uid="{D54F90FD-5973-4C5E-BAAF-6FDE129B3BCE}"/>
    <hyperlink ref="N31" r:id="rId26" xr:uid="{E329DA29-81F6-4F9B-9141-C86B9650D0B4}"/>
    <hyperlink ref="N33" r:id="rId27" xr:uid="{A3634148-4321-4749-A16B-5F3ED8933349}"/>
    <hyperlink ref="N34" r:id="rId28" xr:uid="{D470723C-5043-4B22-A669-B60D3D1F1C04}"/>
    <hyperlink ref="N35" r:id="rId29" xr:uid="{C1DCB0A5-9CB2-43C9-BFBF-A17C192794A2}"/>
    <hyperlink ref="N36" r:id="rId30" xr:uid="{C7C3D187-8B11-4995-B409-DD905158877B}"/>
    <hyperlink ref="N37" r:id="rId31" xr:uid="{B9200BE9-E32A-49AB-9D4E-0C6D4D194E60}"/>
    <hyperlink ref="N38" r:id="rId32" xr:uid="{E3BB1EDA-9DE0-452F-B653-5ACA209BBF6C}"/>
    <hyperlink ref="N39" r:id="rId33" xr:uid="{FBFFB7BE-7898-4976-8389-A56004E9DE2F}"/>
    <hyperlink ref="N40" r:id="rId34" xr:uid="{EBFE958C-420E-4E0F-BE4F-C7175591010A}"/>
    <hyperlink ref="N41" r:id="rId35" xr:uid="{93574D83-47E3-40BC-BD8B-FA5112591208}"/>
    <hyperlink ref="N42" r:id="rId36" xr:uid="{C84FB5CE-4CBD-4B3D-8BC0-7B17A496BC1B}"/>
    <hyperlink ref="N43" r:id="rId37" xr:uid="{4F2538FE-C213-4CA9-8FA1-18BABD9B0B62}"/>
    <hyperlink ref="N44" r:id="rId38" xr:uid="{4D7E96E9-048C-4EC4-84D2-1DE7C02645DB}"/>
    <hyperlink ref="N45" r:id="rId39" xr:uid="{03375205-EB20-4E41-B3CF-54B820435C0E}"/>
    <hyperlink ref="N47" r:id="rId40" xr:uid="{A2680AB3-C514-4A50-AA51-4EAB5F4494BC}"/>
    <hyperlink ref="N49" r:id="rId41" xr:uid="{8E661B0F-D115-41DF-9F03-65695773A771}"/>
    <hyperlink ref="N51" r:id="rId42" xr:uid="{BDDC8155-9A73-46EA-ADDE-E8E3FA9CF310}"/>
    <hyperlink ref="N52" r:id="rId43" xr:uid="{261E1E8E-F47F-4289-BF62-502EBD95F09F}"/>
    <hyperlink ref="N53" r:id="rId44" xr:uid="{AB24E5A9-B84E-4111-AF5E-E34C09E843E1}"/>
    <hyperlink ref="N54" r:id="rId45" xr:uid="{EDFD14C9-58C7-4A90-B75B-FC59C9904543}"/>
    <hyperlink ref="N55" r:id="rId46" xr:uid="{8E651C69-068E-4974-ADB2-15F9B4A345D4}"/>
    <hyperlink ref="N56" r:id="rId47" xr:uid="{A18B9D51-3CC3-4D1B-9058-7CA971B4FEFE}"/>
    <hyperlink ref="N57" r:id="rId48" xr:uid="{8E77C782-7F4A-42D8-92A7-0BFBC59BA738}"/>
    <hyperlink ref="N58" r:id="rId49" xr:uid="{CA2CD777-5B48-4197-8BC2-EA29ECCA712E}"/>
    <hyperlink ref="N59" r:id="rId50" xr:uid="{AE407265-FFC4-46BB-93E7-CA28E7C79B51}"/>
    <hyperlink ref="N60" r:id="rId51" xr:uid="{D1ABB082-15BB-4AED-898A-4AA0318E41E8}"/>
    <hyperlink ref="N61" r:id="rId52" xr:uid="{6E735788-6EA0-4AA4-ABD5-7442AE5349E8}"/>
    <hyperlink ref="N63" r:id="rId53" xr:uid="{447B777D-195D-4187-AAE8-49E99E1CF92C}"/>
    <hyperlink ref="N64" r:id="rId54" xr:uid="{509290E1-ADB3-4AE8-8B32-6871C3695877}"/>
    <hyperlink ref="N69" r:id="rId55" xr:uid="{4E89D73A-3539-49AB-BCA0-7FD61E2EB35E}"/>
    <hyperlink ref="N70" r:id="rId56" xr:uid="{B0A9DB4B-DF72-4520-BCE3-687191D9D821}"/>
    <hyperlink ref="N71" r:id="rId57" xr:uid="{89F72D93-D0F3-4AD7-B7AE-FFB219591847}"/>
    <hyperlink ref="N46" r:id="rId58" xr:uid="{3CDF5DDE-CFB7-40D2-A90E-1CB75F3BF644}"/>
    <hyperlink ref="N65" r:id="rId59" xr:uid="{A60638F8-A009-4A91-A7C2-0B801C25F02F}"/>
    <hyperlink ref="N72" r:id="rId60" xr:uid="{52CF0C58-75BA-4046-9CD9-89BFCD44489C}"/>
    <hyperlink ref="N66" r:id="rId61" xr:uid="{E1FD5A46-89A7-4F84-B3EB-8E515029A5E6}"/>
    <hyperlink ref="N67" r:id="rId62" xr:uid="{DF8DA8DD-7196-428B-9BEE-5EC17E5E3690}"/>
    <hyperlink ref="N48" r:id="rId63" xr:uid="{751E1192-0D7C-45E0-98D0-88F9D9DC41A2}"/>
    <hyperlink ref="N62" r:id="rId64" xr:uid="{9627C054-F53B-4951-A867-1CAFF03E890D}"/>
    <hyperlink ref="N19" r:id="rId65" xr:uid="{1123F2A3-16A8-4665-98B1-23C12A68992A}"/>
    <hyperlink ref="N32" r:id="rId66" xr:uid="{EDBF908D-B2E5-4842-9B28-34C8FC582098}"/>
    <hyperlink ref="N18" r:id="rId67" xr:uid="{C2DE4F44-173C-4C5D-A20F-26B05F5CDB39}"/>
    <hyperlink ref="N27" r:id="rId68" xr:uid="{A1A7852A-81C9-412F-AF54-C68B5936B6A5}"/>
    <hyperlink ref="N17" r:id="rId69" xr:uid="{D0B249A0-F7A7-4C00-861A-973769BA5767}"/>
    <hyperlink ref="N68" r:id="rId70" xr:uid="{FAD23788-5072-4C11-BAE0-284EDC71C04C}"/>
    <hyperlink ref="N50" r:id="rId71" xr:uid="{2332F014-1F3A-43A5-A75B-A98D5C4F609C}"/>
  </hyperlinks>
  <pageMargins left="0.7" right="0.7" top="0.75" bottom="0.75" header="0.3" footer="0.3"/>
  <tableParts count="1">
    <tablePart r:id="rId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Luciano Filet</dc:creator>
  <cp:lastModifiedBy>Martin Luciano Filet</cp:lastModifiedBy>
  <dcterms:created xsi:type="dcterms:W3CDTF">2026-05-25T13:03:35Z</dcterms:created>
  <dcterms:modified xsi:type="dcterms:W3CDTF">2026-07-16T20:08:08Z</dcterms:modified>
</cp:coreProperties>
</file>
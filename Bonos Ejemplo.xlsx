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Claude\Projects\Presentaciones de Quarter\Github Pagina\Bonos-FCA\"/>
    </mc:Choice>
  </mc:AlternateContent>
  <xr:revisionPtr revIDLastSave="0" documentId="13_ncr:1_{82B7A19F-E3E0-4D41-BAA0-A222D0D9E8CE}" xr6:coauthVersionLast="47" xr6:coauthVersionMax="47" xr10:uidLastSave="{00000000-0000-0000-0000-000000000000}"/>
  <bookViews>
    <workbookView xWindow="-120" yWindow="-120" windowWidth="20730" windowHeight="11040" xr2:uid="{8D98F1BD-7C59-42F2-9210-D24E4400257D}"/>
  </bookViews>
  <sheets>
    <sheet name="Hoja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72" i="1" l="1"/>
  <c r="J72" i="1"/>
  <c r="I72" i="1"/>
  <c r="K71" i="1"/>
  <c r="J71" i="1"/>
  <c r="I71" i="1"/>
  <c r="H71" i="1"/>
  <c r="K70" i="1"/>
  <c r="J70" i="1"/>
  <c r="I70" i="1"/>
  <c r="K69" i="1"/>
  <c r="J69" i="1"/>
  <c r="I69" i="1"/>
  <c r="H69" i="1"/>
  <c r="K68" i="1"/>
  <c r="J68" i="1"/>
  <c r="I68" i="1"/>
  <c r="K67" i="1"/>
  <c r="J67" i="1"/>
  <c r="I67" i="1"/>
  <c r="K66" i="1"/>
  <c r="J66" i="1"/>
  <c r="I66" i="1"/>
  <c r="C66" i="1"/>
  <c r="K65" i="1"/>
  <c r="J65" i="1"/>
  <c r="I65" i="1"/>
  <c r="C65" i="1"/>
  <c r="M64" i="1"/>
  <c r="K64" i="1"/>
  <c r="J64" i="1"/>
  <c r="I64" i="1"/>
  <c r="H64" i="1"/>
  <c r="G64" i="1"/>
  <c r="F64" i="1"/>
  <c r="B64" i="1"/>
  <c r="A64" i="1"/>
  <c r="K63" i="1"/>
  <c r="J63" i="1"/>
  <c r="I63" i="1"/>
  <c r="H63" i="1"/>
  <c r="M62" i="1"/>
  <c r="K62" i="1"/>
  <c r="J62" i="1"/>
  <c r="I62" i="1"/>
  <c r="G62" i="1"/>
  <c r="H62" i="1" s="1"/>
  <c r="F62" i="1"/>
  <c r="B62" i="1"/>
  <c r="A62" i="1"/>
  <c r="M61" i="1"/>
  <c r="K61" i="1"/>
  <c r="J61" i="1"/>
  <c r="I61" i="1"/>
  <c r="G61" i="1"/>
  <c r="H61" i="1" s="1"/>
  <c r="F61" i="1"/>
  <c r="E61" i="1"/>
  <c r="B61" i="1"/>
  <c r="A61" i="1"/>
  <c r="M60" i="1"/>
  <c r="K60" i="1"/>
  <c r="J60" i="1"/>
  <c r="I60" i="1"/>
  <c r="G60" i="1"/>
  <c r="H60" i="1" s="1"/>
  <c r="F60" i="1"/>
  <c r="E60" i="1"/>
  <c r="B60" i="1"/>
  <c r="A60" i="1"/>
  <c r="M59" i="1"/>
  <c r="K59" i="1"/>
  <c r="J59" i="1"/>
  <c r="I59" i="1"/>
  <c r="G59" i="1"/>
  <c r="H59" i="1" s="1"/>
  <c r="F59" i="1"/>
  <c r="E59" i="1"/>
  <c r="B59" i="1"/>
  <c r="A59" i="1"/>
  <c r="M58" i="1"/>
  <c r="K58" i="1"/>
  <c r="J58" i="1"/>
  <c r="I58" i="1"/>
  <c r="G58" i="1"/>
  <c r="H58" i="1" s="1"/>
  <c r="F58" i="1"/>
  <c r="E58" i="1"/>
  <c r="B58" i="1"/>
  <c r="A58" i="1"/>
  <c r="K57" i="1"/>
  <c r="J57" i="1"/>
  <c r="I57" i="1"/>
  <c r="H57" i="1"/>
  <c r="M56" i="1"/>
  <c r="K56" i="1"/>
  <c r="J56" i="1"/>
  <c r="I56" i="1"/>
  <c r="G56" i="1"/>
  <c r="H56" i="1" s="1"/>
  <c r="F56" i="1"/>
  <c r="B56" i="1"/>
  <c r="A56" i="1"/>
  <c r="M55" i="1"/>
  <c r="K55" i="1"/>
  <c r="J55" i="1"/>
  <c r="I55" i="1"/>
  <c r="H55" i="1"/>
  <c r="G55" i="1"/>
  <c r="F55" i="1"/>
  <c r="B55" i="1"/>
  <c r="A55" i="1"/>
  <c r="M54" i="1"/>
  <c r="K54" i="1"/>
  <c r="J54" i="1"/>
  <c r="I54" i="1"/>
  <c r="G54" i="1"/>
  <c r="H54" i="1" s="1"/>
  <c r="F54" i="1"/>
  <c r="B54" i="1"/>
  <c r="A54" i="1"/>
  <c r="M53" i="1"/>
  <c r="K53" i="1"/>
  <c r="J53" i="1"/>
  <c r="I53" i="1"/>
  <c r="H53" i="1"/>
  <c r="G53" i="1"/>
  <c r="F53" i="1"/>
  <c r="E53" i="1"/>
  <c r="B53" i="1"/>
  <c r="A53" i="1"/>
  <c r="M52" i="1"/>
  <c r="K52" i="1"/>
  <c r="J52" i="1"/>
  <c r="I52" i="1"/>
  <c r="H52" i="1"/>
  <c r="G52" i="1"/>
  <c r="F52" i="1"/>
  <c r="E52" i="1"/>
  <c r="B52" i="1"/>
  <c r="A52" i="1"/>
  <c r="M51" i="1"/>
  <c r="K51" i="1"/>
  <c r="J51" i="1"/>
  <c r="I51" i="1"/>
  <c r="H51" i="1"/>
  <c r="G51" i="1"/>
  <c r="F51" i="1"/>
  <c r="E51" i="1"/>
  <c r="B51" i="1"/>
  <c r="A51" i="1"/>
  <c r="K50" i="1"/>
  <c r="J50" i="1"/>
  <c r="I50" i="1"/>
  <c r="M49" i="1"/>
  <c r="K49" i="1"/>
  <c r="J49" i="1"/>
  <c r="I49" i="1"/>
  <c r="G49" i="1"/>
  <c r="H49" i="1" s="1"/>
  <c r="F49" i="1"/>
  <c r="E49" i="1"/>
  <c r="B49" i="1"/>
  <c r="A49" i="1"/>
  <c r="M48" i="1"/>
  <c r="K48" i="1"/>
  <c r="J48" i="1"/>
  <c r="I48" i="1"/>
  <c r="G48" i="1"/>
  <c r="H48" i="1" s="1"/>
  <c r="F48" i="1"/>
  <c r="B48" i="1"/>
  <c r="A48" i="1"/>
  <c r="K47" i="1"/>
  <c r="J47" i="1"/>
  <c r="I47" i="1"/>
  <c r="H47" i="1"/>
  <c r="C47" i="1"/>
  <c r="K46" i="1"/>
  <c r="J46" i="1"/>
  <c r="I46" i="1"/>
  <c r="H46" i="1"/>
  <c r="C46" i="1"/>
  <c r="K45" i="1"/>
  <c r="J45" i="1"/>
  <c r="I45" i="1"/>
  <c r="H45" i="1"/>
  <c r="M44" i="1"/>
  <c r="K44" i="1"/>
  <c r="J44" i="1"/>
  <c r="I44" i="1"/>
  <c r="H44" i="1"/>
  <c r="G44" i="1"/>
  <c r="F44" i="1"/>
  <c r="B44" i="1"/>
  <c r="A44" i="1"/>
  <c r="K43" i="1"/>
  <c r="J43" i="1"/>
  <c r="I43" i="1"/>
  <c r="H43" i="1"/>
  <c r="C43" i="1"/>
  <c r="M42" i="1"/>
  <c r="K42" i="1"/>
  <c r="J42" i="1"/>
  <c r="I42" i="1"/>
  <c r="G42" i="1"/>
  <c r="H42" i="1" s="1"/>
  <c r="F42" i="1"/>
  <c r="B42" i="1"/>
  <c r="A42" i="1"/>
  <c r="M41" i="1"/>
  <c r="K41" i="1"/>
  <c r="J41" i="1"/>
  <c r="I41" i="1"/>
  <c r="G41" i="1"/>
  <c r="H41" i="1" s="1"/>
  <c r="F41" i="1"/>
  <c r="B41" i="1"/>
  <c r="A41" i="1"/>
  <c r="M40" i="1"/>
  <c r="K40" i="1"/>
  <c r="J40" i="1"/>
  <c r="I40" i="1"/>
  <c r="H40" i="1"/>
  <c r="G40" i="1"/>
  <c r="F40" i="1"/>
  <c r="E40" i="1"/>
  <c r="B40" i="1"/>
  <c r="A40" i="1"/>
  <c r="M39" i="1"/>
  <c r="K39" i="1"/>
  <c r="J39" i="1"/>
  <c r="I39" i="1"/>
  <c r="G39" i="1"/>
  <c r="H39" i="1" s="1"/>
  <c r="F39" i="1"/>
  <c r="E39" i="1"/>
  <c r="B39" i="1"/>
  <c r="A39" i="1"/>
  <c r="K38" i="1"/>
  <c r="J38" i="1"/>
  <c r="I38" i="1"/>
  <c r="H38" i="1"/>
  <c r="C38" i="1"/>
  <c r="K37" i="1"/>
  <c r="J37" i="1"/>
  <c r="I37" i="1"/>
  <c r="H37" i="1"/>
  <c r="C37" i="1"/>
  <c r="M36" i="1"/>
  <c r="K36" i="1"/>
  <c r="J36" i="1"/>
  <c r="I36" i="1"/>
  <c r="G36" i="1"/>
  <c r="H36" i="1" s="1"/>
  <c r="F36" i="1"/>
  <c r="E36" i="1"/>
  <c r="B36" i="1"/>
  <c r="A36" i="1"/>
  <c r="K35" i="1"/>
  <c r="J35" i="1"/>
  <c r="I35" i="1"/>
  <c r="H35" i="1"/>
  <c r="C35" i="1"/>
  <c r="K34" i="1"/>
  <c r="J34" i="1"/>
  <c r="I34" i="1"/>
  <c r="H34" i="1"/>
  <c r="K33" i="1"/>
  <c r="J33" i="1"/>
  <c r="I33" i="1"/>
  <c r="H33" i="1"/>
  <c r="K32" i="1"/>
  <c r="J32" i="1"/>
  <c r="I32" i="1"/>
  <c r="H32" i="1"/>
  <c r="M31" i="1"/>
  <c r="K31" i="1"/>
  <c r="J31" i="1"/>
  <c r="I31" i="1"/>
  <c r="G31" i="1"/>
  <c r="H31" i="1" s="1"/>
  <c r="F31" i="1"/>
  <c r="B31" i="1"/>
  <c r="A31" i="1"/>
  <c r="K30" i="1"/>
  <c r="J30" i="1"/>
  <c r="I30" i="1"/>
  <c r="H30" i="1"/>
  <c r="K29" i="1"/>
  <c r="J29" i="1"/>
  <c r="I29" i="1"/>
  <c r="H29" i="1"/>
  <c r="K28" i="1"/>
  <c r="J28" i="1"/>
  <c r="I28" i="1"/>
  <c r="H28" i="1"/>
  <c r="K27" i="1"/>
  <c r="J27" i="1"/>
  <c r="I27" i="1"/>
  <c r="K26" i="1"/>
  <c r="J26" i="1"/>
  <c r="I26" i="1"/>
  <c r="H26" i="1"/>
  <c r="C26" i="1"/>
  <c r="M25" i="1"/>
  <c r="K25" i="1"/>
  <c r="J25" i="1"/>
  <c r="I25" i="1"/>
  <c r="G25" i="1"/>
  <c r="H25" i="1" s="1"/>
  <c r="F25" i="1"/>
  <c r="E25" i="1"/>
  <c r="B25" i="1"/>
  <c r="A25" i="1"/>
  <c r="M24" i="1"/>
  <c r="K24" i="1"/>
  <c r="J24" i="1"/>
  <c r="I24" i="1"/>
  <c r="H24" i="1"/>
  <c r="G24" i="1"/>
  <c r="F24" i="1"/>
  <c r="B24" i="1"/>
  <c r="A24" i="1"/>
  <c r="M23" i="1"/>
  <c r="K23" i="1"/>
  <c r="J23" i="1"/>
  <c r="I23" i="1"/>
  <c r="G23" i="1"/>
  <c r="H23" i="1" s="1"/>
  <c r="F23" i="1"/>
  <c r="B23" i="1"/>
  <c r="A23" i="1"/>
  <c r="M22" i="1"/>
  <c r="K22" i="1"/>
  <c r="J22" i="1"/>
  <c r="I22" i="1"/>
  <c r="G22" i="1"/>
  <c r="H22" i="1" s="1"/>
  <c r="F22" i="1"/>
  <c r="B22" i="1"/>
  <c r="A22" i="1"/>
  <c r="M21" i="1"/>
  <c r="K21" i="1"/>
  <c r="J21" i="1"/>
  <c r="I21" i="1"/>
  <c r="G21" i="1"/>
  <c r="H21" i="1" s="1"/>
  <c r="F21" i="1"/>
  <c r="E21" i="1"/>
  <c r="B21" i="1"/>
  <c r="A21" i="1"/>
  <c r="K20" i="1"/>
  <c r="J20" i="1"/>
  <c r="I20" i="1"/>
  <c r="H20" i="1"/>
  <c r="C20" i="1"/>
  <c r="K19" i="1"/>
  <c r="J19" i="1"/>
  <c r="I19" i="1"/>
  <c r="H19" i="1"/>
  <c r="K18" i="1"/>
  <c r="J18" i="1"/>
  <c r="I18" i="1"/>
  <c r="K17" i="1"/>
  <c r="J17" i="1"/>
  <c r="I17" i="1"/>
  <c r="K16" i="1"/>
  <c r="J16" i="1"/>
  <c r="I16" i="1"/>
  <c r="H16" i="1"/>
  <c r="K15" i="1"/>
  <c r="J15" i="1"/>
  <c r="I15" i="1"/>
  <c r="H15" i="1"/>
  <c r="C15" i="1"/>
  <c r="K14" i="1"/>
  <c r="J14" i="1"/>
  <c r="I14" i="1"/>
  <c r="H14" i="1"/>
  <c r="C14" i="1"/>
  <c r="M13" i="1"/>
  <c r="K13" i="1"/>
  <c r="J13" i="1"/>
  <c r="I13" i="1"/>
  <c r="G13" i="1"/>
  <c r="H13" i="1" s="1"/>
  <c r="F13" i="1"/>
  <c r="B13" i="1"/>
  <c r="A13" i="1"/>
  <c r="M12" i="1"/>
  <c r="K12" i="1"/>
  <c r="J12" i="1"/>
  <c r="I12" i="1"/>
  <c r="G12" i="1"/>
  <c r="H12" i="1" s="1"/>
  <c r="F12" i="1"/>
  <c r="B12" i="1"/>
  <c r="A12" i="1"/>
  <c r="M11" i="1"/>
  <c r="K11" i="1"/>
  <c r="J11" i="1"/>
  <c r="I11" i="1"/>
  <c r="H11" i="1"/>
  <c r="G11" i="1"/>
  <c r="F11" i="1"/>
  <c r="E11" i="1"/>
  <c r="B11" i="1"/>
  <c r="A11" i="1"/>
  <c r="K10" i="1"/>
  <c r="J10" i="1"/>
  <c r="I10" i="1"/>
  <c r="M9" i="1"/>
  <c r="K9" i="1"/>
  <c r="J9" i="1"/>
  <c r="I9" i="1"/>
  <c r="G9" i="1"/>
  <c r="H9" i="1" s="1"/>
  <c r="F9" i="1"/>
  <c r="E9" i="1"/>
  <c r="B9" i="1"/>
  <c r="A9" i="1"/>
  <c r="M8" i="1"/>
  <c r="K8" i="1"/>
  <c r="J8" i="1"/>
  <c r="I8" i="1"/>
  <c r="G8" i="1"/>
  <c r="H8" i="1" s="1"/>
  <c r="F8" i="1"/>
  <c r="E8" i="1"/>
  <c r="B8" i="1"/>
  <c r="A8" i="1"/>
  <c r="M7" i="1"/>
  <c r="K7" i="1"/>
  <c r="J7" i="1"/>
  <c r="I7" i="1"/>
  <c r="G7" i="1"/>
  <c r="H7" i="1" s="1"/>
  <c r="F7" i="1"/>
  <c r="E7" i="1"/>
  <c r="B7" i="1"/>
  <c r="A7" i="1"/>
  <c r="M6" i="1"/>
  <c r="K6" i="1"/>
  <c r="J6" i="1"/>
  <c r="I6" i="1"/>
  <c r="G6" i="1"/>
  <c r="H6" i="1" s="1"/>
  <c r="F6" i="1"/>
  <c r="E6" i="1"/>
  <c r="B6" i="1"/>
  <c r="A6" i="1"/>
  <c r="M5" i="1"/>
  <c r="K5" i="1"/>
  <c r="J5" i="1"/>
  <c r="I5" i="1"/>
  <c r="G5" i="1"/>
  <c r="H5" i="1" s="1"/>
  <c r="F5" i="1"/>
  <c r="E5" i="1"/>
  <c r="B5" i="1"/>
  <c r="A5" i="1"/>
  <c r="K4" i="1"/>
  <c r="J4" i="1"/>
  <c r="I4" i="1"/>
  <c r="K3" i="1"/>
  <c r="J3" i="1"/>
  <c r="I3" i="1"/>
  <c r="K2" i="1"/>
  <c r="J2" i="1"/>
  <c r="I2" i="1"/>
</calcChain>
</file>

<file path=xl/sharedStrings.xml><?xml version="1.0" encoding="utf-8"?>
<sst xmlns="http://schemas.openxmlformats.org/spreadsheetml/2006/main" count="415" uniqueCount="176">
  <si>
    <t>Industry</t>
  </si>
  <si>
    <t>Guarantor/Organization</t>
  </si>
  <si>
    <t>IG - HY</t>
  </si>
  <si>
    <t>Rating</t>
  </si>
  <si>
    <t>Coupon %</t>
  </si>
  <si>
    <t>Maturity</t>
  </si>
  <si>
    <t>Year</t>
  </si>
  <si>
    <t>YTW %</t>
  </si>
  <si>
    <t>Minimum Settlement</t>
  </si>
  <si>
    <t>ISIN</t>
  </si>
  <si>
    <t>Leasing and Rental</t>
  </si>
  <si>
    <t>Aercap</t>
  </si>
  <si>
    <t>IG</t>
  </si>
  <si>
    <t>BBB+</t>
  </si>
  <si>
    <t>US00774MAV72</t>
  </si>
  <si>
    <t>Motor Vehicle Production</t>
  </si>
  <si>
    <t>Ford Motor</t>
  </si>
  <si>
    <t>BBB-</t>
  </si>
  <si>
    <t>US345397E748</t>
  </si>
  <si>
    <t>US00774MAR60</t>
  </si>
  <si>
    <t>Sirius XM Holdings</t>
  </si>
  <si>
    <t>HY</t>
  </si>
  <si>
    <t>USU82764AM01</t>
  </si>
  <si>
    <t>Viatris</t>
  </si>
  <si>
    <t>US92556VAC00</t>
  </si>
  <si>
    <t>Eastman Chemical</t>
  </si>
  <si>
    <t>US277432AW04</t>
  </si>
  <si>
    <t>Ally Financial</t>
  </si>
  <si>
    <t>US02005NBP42</t>
  </si>
  <si>
    <t>General Motors</t>
  </si>
  <si>
    <t>-/BBB/BBB</t>
  </si>
  <si>
    <t>US37045VAS97</t>
  </si>
  <si>
    <t>Fluor</t>
  </si>
  <si>
    <t>US343412AF90</t>
  </si>
  <si>
    <t>Specialty Retailers</t>
  </si>
  <si>
    <t>Ba2/BB</t>
  </si>
  <si>
    <t>US655664AH33</t>
  </si>
  <si>
    <t>US345397D591</t>
  </si>
  <si>
    <t>Healthcare</t>
  </si>
  <si>
    <t>Molina Healthcare Inc</t>
  </si>
  <si>
    <t>BB-</t>
  </si>
  <si>
    <t>USU60868AC79</t>
  </si>
  <si>
    <t>Oil and Gas Extraction and Refining</t>
  </si>
  <si>
    <t>BB</t>
  </si>
  <si>
    <t>US279158AT64</t>
  </si>
  <si>
    <t>US02005NBT63</t>
  </si>
  <si>
    <t>Olin</t>
  </si>
  <si>
    <t>Ba2/BB/-</t>
  </si>
  <si>
    <t>US680665AL00</t>
  </si>
  <si>
    <t>FMC</t>
  </si>
  <si>
    <t>Ba1/BB+/BB+</t>
  </si>
  <si>
    <t>US302491AU91</t>
  </si>
  <si>
    <t>Methanex</t>
  </si>
  <si>
    <t>Ba2/BB/BB+</t>
  </si>
  <si>
    <t>US59151KAL26</t>
  </si>
  <si>
    <t>US277432AZ35</t>
  </si>
  <si>
    <t>Manufacture of Miscellaneous Consumer Goods</t>
  </si>
  <si>
    <t>Baa3/BBB/BBB-</t>
  </si>
  <si>
    <t>USU57619AG08</t>
  </si>
  <si>
    <t>Asset Management</t>
  </si>
  <si>
    <t>Ares Capital</t>
  </si>
  <si>
    <t>BBB</t>
  </si>
  <si>
    <t>US04010LBG77</t>
  </si>
  <si>
    <t>Baa2/BBB/BBB</t>
  </si>
  <si>
    <t>US37045VAY65</t>
  </si>
  <si>
    <t>Ba3/BB/B+</t>
  </si>
  <si>
    <t>US680665AK27</t>
  </si>
  <si>
    <t>USU60868AD52</t>
  </si>
  <si>
    <t>Apparel</t>
  </si>
  <si>
    <t>Gildan Activewear</t>
  </si>
  <si>
    <t>Baa3/BBB-/BBB</t>
  </si>
  <si>
    <t>USC39296AA34</t>
  </si>
  <si>
    <t>US04010LBK89</t>
  </si>
  <si>
    <t>B+</t>
  </si>
  <si>
    <t>USG38327AD78</t>
  </si>
  <si>
    <t>EQT</t>
  </si>
  <si>
    <t>US26884LAG41</t>
  </si>
  <si>
    <t>BB+/BBB-</t>
  </si>
  <si>
    <t>USU5562LAH25</t>
  </si>
  <si>
    <t>US436106AC21</t>
  </si>
  <si>
    <t>Petrobras</t>
  </si>
  <si>
    <t>US71647NBE85</t>
  </si>
  <si>
    <t>US92556VAD82</t>
  </si>
  <si>
    <t>Embraer</t>
  </si>
  <si>
    <t>USN29505AB53</t>
  </si>
  <si>
    <t>Vale</t>
  </si>
  <si>
    <t>Baa2/BBB/BBB+</t>
  </si>
  <si>
    <t>US91911TAQ67</t>
  </si>
  <si>
    <t>US655664AT70</t>
  </si>
  <si>
    <t>Centene</t>
  </si>
  <si>
    <t>BB+</t>
  </si>
  <si>
    <t>US15135BAW19</t>
  </si>
  <si>
    <t>Media</t>
  </si>
  <si>
    <t>Warner Media</t>
  </si>
  <si>
    <t>Ba3/BB+</t>
  </si>
  <si>
    <t>US25470DCC11</t>
  </si>
  <si>
    <t>US577081BG67</t>
  </si>
  <si>
    <t>US403949AR17</t>
  </si>
  <si>
    <t>US15135BAX91</t>
  </si>
  <si>
    <t>Micron Technology</t>
  </si>
  <si>
    <t>US595112CD31</t>
  </si>
  <si>
    <t>US71647NBH17</t>
  </si>
  <si>
    <t>British American Tobacco</t>
  </si>
  <si>
    <t>US05526DBS36</t>
  </si>
  <si>
    <t>USU2689EAB66</t>
  </si>
  <si>
    <t>Whirlpool</t>
  </si>
  <si>
    <t>Ba3/BB</t>
  </si>
  <si>
    <t>US963320AY28</t>
  </si>
  <si>
    <t>Occidental Petroleum</t>
  </si>
  <si>
    <t>BB+/BBB</t>
  </si>
  <si>
    <t>US674599DE26</t>
  </si>
  <si>
    <t>US55903VBQ59</t>
  </si>
  <si>
    <t>Tapestry</t>
  </si>
  <si>
    <t>US876030AA54</t>
  </si>
  <si>
    <t>US674599EK76</t>
  </si>
  <si>
    <t>USU59224AA07</t>
  </si>
  <si>
    <t>US05526DBW48</t>
  </si>
  <si>
    <t>Ba3/BB/BB+</t>
  </si>
  <si>
    <t>US963320AZ92</t>
  </si>
  <si>
    <t>Expand/Southwestern Energy</t>
  </si>
  <si>
    <t>US845467AT68</t>
  </si>
  <si>
    <t>BBB/BBB</t>
  </si>
  <si>
    <t>US595112CG61</t>
  </si>
  <si>
    <t>US403949AT72</t>
  </si>
  <si>
    <t>US577778BQ55</t>
  </si>
  <si>
    <t>Tobacco</t>
  </si>
  <si>
    <t>Baa1/BBB+/BBB+</t>
  </si>
  <si>
    <t>US054989AB41</t>
  </si>
  <si>
    <t>USC39296AB17</t>
  </si>
  <si>
    <t>Aircraft Production and Defense</t>
  </si>
  <si>
    <t>US29082HAE27</t>
  </si>
  <si>
    <t>Baa2/BBB/Withdrawn</t>
  </si>
  <si>
    <t>US876030AL10</t>
  </si>
  <si>
    <t>US165167DH73</t>
  </si>
  <si>
    <t>Chemical and petrochemical industry</t>
  </si>
  <si>
    <t>Nordstrom</t>
  </si>
  <si>
    <t>Ecopetrol</t>
  </si>
  <si>
    <t>Mattel</t>
  </si>
  <si>
    <t>Geopark</t>
  </si>
  <si>
    <t>Macy´s</t>
  </si>
  <si>
    <t>HF Sinclair</t>
  </si>
  <si>
    <t>Issuer</t>
  </si>
  <si>
    <t>Price</t>
  </si>
  <si>
    <t>Gspread</t>
  </si>
  <si>
    <t>Aercap Holdings</t>
  </si>
  <si>
    <t>Ford Motor Credit Co</t>
  </si>
  <si>
    <t>Prev month
YTW%</t>
  </si>
  <si>
    <t>Outstanding
US$</t>
  </si>
  <si>
    <t>29/10/2026</t>
  </si>
  <si>
    <t>USU82764AT53</t>
  </si>
  <si>
    <t>Chemours</t>
  </si>
  <si>
    <t>B1/BB-</t>
  </si>
  <si>
    <t>USU16309AH65</t>
  </si>
  <si>
    <t>USU16309AJ22</t>
  </si>
  <si>
    <t>US674599EL59</t>
  </si>
  <si>
    <t>Falabella</t>
  </si>
  <si>
    <t>USP82290AR17</t>
  </si>
  <si>
    <t>US277432BB57</t>
  </si>
  <si>
    <t xml:space="preserve"> -/BB+/BBB-</t>
  </si>
  <si>
    <t>USP3984LAA81</t>
  </si>
  <si>
    <t>Decisión</t>
  </si>
  <si>
    <t>Buy</t>
  </si>
  <si>
    <t>Xerox</t>
  </si>
  <si>
    <t>Caa3/CCC+/CCC</t>
  </si>
  <si>
    <t>USU98401AB58</t>
  </si>
  <si>
    <t>Done</t>
  </si>
  <si>
    <t>Braskem</t>
  </si>
  <si>
    <t>Caa3/CCC-/CC</t>
  </si>
  <si>
    <t>USN15516AB83</t>
  </si>
  <si>
    <t>Clearwater Paper</t>
  </si>
  <si>
    <t>Pulp, Paper and Wood</t>
  </si>
  <si>
    <t>Ba3/B+</t>
  </si>
  <si>
    <t>USU18510AE44</t>
  </si>
  <si>
    <t>Hold</t>
  </si>
  <si>
    <t>DaVita</t>
  </si>
  <si>
    <t>USU23888AE71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</si>
</sst>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\.mm\.yy;@"/>
    <numFmt numFmtId="165" formatCode="&quot;$&quot;#,##0"/>
    <numFmt numFmtId="166" formatCode="0.0%"/>
    <numFmt numFmtId="167" formatCode="dd/mm/yyyy;@"/>
    <numFmt numFmtId="168" formatCode="0.0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Comfortaa"/>
    </font>
    <font>
      <sz val="11"/>
      <color theme="4"/>
      <name val="Comfortaa"/>
    </font>
    <font>
      <sz val="11"/>
      <color theme="1"/>
      <name val="Comfortaa"/>
    </font>
    <font>
      <sz val="11"/>
      <name val="Comfortaa"/>
    </font>
  </fonts>
  <fills count="6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58595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44">
    <xf numFmtId="0" fontId="0" fillId="0" borderId="0" xfId="0"/>
    <xf numFmtId="9" fontId="0" fillId="0" borderId="0" xfId="1" applyFont="1"/>
    <xf numFmtId="164" fontId="0" fillId="0" borderId="0" xfId="0" applyNumberFormat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165" fontId="3" fillId="2" borderId="2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66" fontId="5" fillId="0" borderId="4" xfId="1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1" fontId="5" fillId="0" borderId="4" xfId="0" applyNumberFormat="1" applyFont="1" applyBorder="1" applyAlignment="1">
      <alignment horizontal="center" vertical="center"/>
    </xf>
    <xf numFmtId="168" fontId="5" fillId="0" borderId="4" xfId="1" applyNumberFormat="1" applyFont="1" applyBorder="1" applyAlignment="1">
      <alignment horizontal="center" vertical="center"/>
    </xf>
    <xf numFmtId="3" fontId="5" fillId="0" borderId="4" xfId="2" applyNumberFormat="1" applyFont="1" applyFill="1" applyBorder="1" applyAlignment="1">
      <alignment horizontal="center" vertical="center"/>
    </xf>
    <xf numFmtId="3" fontId="2" fillId="0" borderId="4" xfId="3" applyNumberFormat="1" applyFill="1" applyBorder="1" applyAlignment="1">
      <alignment horizontal="center" vertical="center"/>
    </xf>
    <xf numFmtId="165" fontId="5" fillId="0" borderId="5" xfId="2" applyNumberFormat="1" applyFont="1" applyFill="1" applyBorder="1" applyAlignment="1">
      <alignment horizontal="center" vertical="center"/>
    </xf>
    <xf numFmtId="166" fontId="5" fillId="0" borderId="4" xfId="1" applyNumberFormat="1" applyFont="1" applyBorder="1"/>
    <xf numFmtId="3" fontId="2" fillId="0" borderId="4" xfId="3" applyNumberForma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6" fontId="5" fillId="4" borderId="4" xfId="1" applyNumberFormat="1" applyFont="1" applyFill="1" applyBorder="1" applyAlignment="1">
      <alignment horizontal="center" vertical="center"/>
    </xf>
    <xf numFmtId="167" fontId="5" fillId="4" borderId="4" xfId="0" applyNumberFormat="1" applyFon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8" fontId="5" fillId="4" borderId="4" xfId="1" applyNumberFormat="1" applyFont="1" applyFill="1" applyBorder="1" applyAlignment="1">
      <alignment horizontal="center" vertical="center"/>
    </xf>
    <xf numFmtId="3" fontId="5" fillId="4" borderId="4" xfId="2" applyNumberFormat="1" applyFont="1" applyFill="1" applyBorder="1" applyAlignment="1">
      <alignment horizontal="center" vertical="center"/>
    </xf>
    <xf numFmtId="3" fontId="2" fillId="4" borderId="4" xfId="3" applyNumberFormat="1" applyFill="1" applyBorder="1" applyAlignment="1">
      <alignment horizontal="center" vertical="center"/>
    </xf>
    <xf numFmtId="165" fontId="5" fillId="4" borderId="5" xfId="2" applyNumberFormat="1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166" fontId="5" fillId="0" borderId="7" xfId="1" applyNumberFormat="1" applyFont="1" applyBorder="1" applyAlignment="1">
      <alignment horizontal="center" vertical="center"/>
    </xf>
    <xf numFmtId="167" fontId="5" fillId="0" borderId="7" xfId="0" applyNumberFormat="1" applyFont="1" applyBorder="1" applyAlignment="1">
      <alignment horizontal="center" vertical="center"/>
    </xf>
    <xf numFmtId="3" fontId="5" fillId="0" borderId="7" xfId="2" applyNumberFormat="1" applyFont="1" applyFill="1" applyBorder="1" applyAlignment="1">
      <alignment horizontal="center" vertical="center"/>
    </xf>
    <xf numFmtId="3" fontId="2" fillId="0" borderId="7" xfId="3" applyNumberForma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0" fontId="2" fillId="0" borderId="0" xfId="3" applyFill="1" applyAlignment="1">
      <alignment horizontal="center"/>
    </xf>
    <xf numFmtId="0" fontId="2" fillId="4" borderId="0" xfId="3" applyFill="1" applyAlignment="1">
      <alignment horizontal="center"/>
    </xf>
    <xf numFmtId="0" fontId="4" fillId="3" borderId="4" xfId="0" applyFont="1" applyFill="1" applyBorder="1" applyAlignment="1">
      <alignment horizontal="center" vertical="center"/>
    </xf>
    <xf numFmtId="166" fontId="5" fillId="0" borderId="7" xfId="1" applyNumberFormat="1" applyFont="1" applyFill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5" fontId="5" fillId="0" borderId="8" xfId="2" applyNumberFormat="1" applyFont="1" applyFill="1" applyBorder="1" applyAlignment="1">
      <alignment horizontal="center" vertical="center"/>
    </xf>
    <xf numFmtId="168" fontId="5" fillId="5" borderId="4" xfId="1" applyNumberFormat="1" applyFont="1" applyFill="1" applyBorder="1" applyAlignment="1">
      <alignment horizontal="center" vertical="center"/>
    </xf>
  </cellXfs>
  <cellStyles count="4">
    <cellStyle name="Hipervínculo" xfId="3" builtinId="8"/>
    <cellStyle name="Millares 3" xfId="2" xr:uid="{1746C45B-35CD-444D-849E-3B0966233946}"/>
    <cellStyle name="Normal" xfId="0" builtinId="0"/>
    <cellStyle name="Porcentaje" xfId="1" builtinId="5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5" formatCode="&quot;$&quot;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7" formatCode="dd/mm/yyyy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omfortaa"/>
        <scheme val="none"/>
      </font>
      <fill>
        <patternFill patternType="solid">
          <fgColor indexed="64"/>
          <bgColor rgb="FF58595B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indexed="64"/>
        </bottom>
      </border>
    </dxf>
    <dxf>
      <border outline="0">
        <right style="medium">
          <color indexed="64"/>
        </right>
        <top style="medium">
          <color indexed="64"/>
        </top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74b4ddab53a69d15/Desktop/FCA%20Asset%20Management/Bonos%20Fondos/Bonos%20-%20FCA%20Asset%20Management.xlsm" TargetMode="External"/><Relationship Id="rId1" Type="http://schemas.openxmlformats.org/officeDocument/2006/relationships/externalLinkPath" Target="https://d.docs.live.net/74b4ddab53a69d15/Desktop/FCA%20Asset%20Management/Bonos%20Fondos/Bonos%20-%20FCA%20Asset%20Management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ownloads/watchlist20260724.xlsx" TargetMode="External"/><Relationship Id="rId2" Type="http://schemas.openxmlformats.org/officeDocument/2006/relationships/externalLinkPath" Target="file:///C:\Users\Usuario\Downloads\watchlist20260724.xlsx" TargetMode="External"/><Relationship Id="rId1" Type="http://schemas.openxmlformats.org/officeDocument/2006/relationships/externalLinkPath" Target="/Users/Usuario/Downloads/watchlist202607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adder"/>
      <sheetName val="Dinamica"/>
      <sheetName val="Ladder (including ARG issuers)"/>
      <sheetName val="Ladder (incl ARG) 1 bond"/>
      <sheetName val="1Q24"/>
      <sheetName val="2Q24"/>
      <sheetName val="3Q24"/>
      <sheetName val="4Q24"/>
      <sheetName val="1Q25"/>
      <sheetName val="2Q25"/>
      <sheetName val="Cbonds export 05.20.2025"/>
      <sheetName val="3Q25"/>
      <sheetName val="4Q25"/>
      <sheetName val="1Q26"/>
      <sheetName val="ETFs Blackrock"/>
      <sheetName val="Prospects &amp; Others"/>
      <sheetName val="Bonos Lantia 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4">
          <cell r="B14" t="str">
            <v>ISSUER</v>
          </cell>
          <cell r="C14" t="str">
            <v>ISSUER INDUSTRY</v>
          </cell>
          <cell r="D14" t="str">
            <v>ISSUER RATING M/S&amp;P/F FOREIGN CURRENCY</v>
          </cell>
          <cell r="F14" t="str">
            <v>COUPON, % P.A.</v>
          </cell>
          <cell r="G14" t="str">
            <v>MATURITY DATE</v>
          </cell>
          <cell r="J14" t="str">
            <v>FACE VALUE / MINIMUM SETTLEMENT AMOUNT</v>
          </cell>
          <cell r="K14" t="str">
            <v>ISIN</v>
          </cell>
        </row>
        <row r="15">
          <cell r="B15" t="str">
            <v>Warner Bros. Discovery</v>
          </cell>
          <cell r="C15" t="str">
            <v>Media</v>
          </cell>
          <cell r="D15" t="str">
            <v>-/BBB-/BBB-</v>
          </cell>
          <cell r="F15">
            <v>3.95E-2</v>
          </cell>
          <cell r="G15" t="str">
            <v>15/06/2025</v>
          </cell>
          <cell r="J15">
            <v>2000</v>
          </cell>
          <cell r="K15" t="str">
            <v>US811065AG61</v>
          </cell>
        </row>
        <row r="16">
          <cell r="B16" t="str">
            <v>Viatris</v>
          </cell>
          <cell r="C16" t="str">
            <v>Pharmaceutical Preparation and Biotechnology</v>
          </cell>
          <cell r="D16" t="str">
            <v>-/BB+/BBB</v>
          </cell>
          <cell r="F16">
            <v>1.6500000000000001E-2</v>
          </cell>
          <cell r="G16" t="str">
            <v>22/06/2025</v>
          </cell>
          <cell r="J16">
            <v>2000</v>
          </cell>
          <cell r="K16" t="str">
            <v>US92556VAB27</v>
          </cell>
        </row>
        <row r="17">
          <cell r="B17" t="str">
            <v>Aercap Holdings</v>
          </cell>
          <cell r="C17" t="str">
            <v>Leasing and Rental</v>
          </cell>
          <cell r="D17" t="str">
            <v>-/BBB+/BBB+</v>
          </cell>
          <cell r="F17">
            <v>6.5000000000000002E-2</v>
          </cell>
          <cell r="G17" t="str">
            <v>15/07/2025</v>
          </cell>
          <cell r="J17">
            <v>150000</v>
          </cell>
          <cell r="K17" t="str">
            <v>US00774MAN56</v>
          </cell>
        </row>
        <row r="18">
          <cell r="B18" t="str">
            <v>Xerox Holdings Corporation</v>
          </cell>
          <cell r="C18" t="str">
            <v>IT equipment</v>
          </cell>
          <cell r="D18" t="str">
            <v>B2/B+/Withdrawn</v>
          </cell>
          <cell r="F18">
            <v>0.05</v>
          </cell>
          <cell r="G18" t="str">
            <v>15/08/2025</v>
          </cell>
          <cell r="J18">
            <v>2000</v>
          </cell>
          <cell r="K18" t="str">
            <v>USU98401AA75</v>
          </cell>
        </row>
        <row r="19">
          <cell r="B19" t="str">
            <v>General Motors</v>
          </cell>
          <cell r="C19" t="str">
            <v>Motor Vehicle Production</v>
          </cell>
          <cell r="D19" t="str">
            <v>-/BBB/BBB</v>
          </cell>
          <cell r="F19">
            <v>6.1249999999999999E-2</v>
          </cell>
          <cell r="G19">
            <v>45667</v>
          </cell>
          <cell r="J19">
            <v>2000</v>
          </cell>
          <cell r="K19" t="str">
            <v>US37045VAV27</v>
          </cell>
        </row>
        <row r="20">
          <cell r="B20" t="str">
            <v>Ford Motor</v>
          </cell>
          <cell r="C20" t="str">
            <v>Motor Vehicle Production</v>
          </cell>
          <cell r="D20" t="str">
            <v>-/BBB-/BBB-</v>
          </cell>
          <cell r="F20">
            <v>7.1249999999999994E-2</v>
          </cell>
          <cell r="G20" t="str">
            <v>15/11/2025</v>
          </cell>
          <cell r="J20">
            <v>5000</v>
          </cell>
          <cell r="K20" t="str">
            <v>US345370BN94</v>
          </cell>
        </row>
        <row r="21">
          <cell r="B21" t="str">
            <v>Telecom Argentina</v>
          </cell>
          <cell r="C21" t="str">
            <v>Communication Services</v>
          </cell>
          <cell r="D21" t="str">
            <v>Caa1/B-/B-</v>
          </cell>
          <cell r="F21">
            <v>0.08</v>
          </cell>
          <cell r="G21" t="str">
            <v>18/07/2026</v>
          </cell>
          <cell r="J21">
            <v>1000</v>
          </cell>
          <cell r="K21" t="str">
            <v>USP9028NAV30</v>
          </cell>
        </row>
        <row r="22">
          <cell r="B22" t="str">
            <v>Banco Galicia</v>
          </cell>
          <cell r="C22" t="str">
            <v>Banks</v>
          </cell>
          <cell r="D22" t="str">
            <v>Caa2/B-/-</v>
          </cell>
          <cell r="F22">
            <v>7.9619999999999996E-2</v>
          </cell>
          <cell r="G22" t="str">
            <v>19/07/2026</v>
          </cell>
          <cell r="J22">
            <v>200000</v>
          </cell>
          <cell r="K22" t="str">
            <v>USP0R66CAA64</v>
          </cell>
        </row>
        <row r="23">
          <cell r="B23" t="str">
            <v>Sirius XM Radio Inc</v>
          </cell>
          <cell r="C23" t="str">
            <v>Other sectors</v>
          </cell>
          <cell r="D23" t="str">
            <v>-/-/-</v>
          </cell>
          <cell r="F23">
            <v>3.125E-2</v>
          </cell>
          <cell r="G23">
            <v>46031</v>
          </cell>
          <cell r="J23">
            <v>2000</v>
          </cell>
          <cell r="K23" t="str">
            <v>USU82764AU27</v>
          </cell>
        </row>
        <row r="24">
          <cell r="B24" t="str">
            <v>FMC</v>
          </cell>
          <cell r="C24" t="str">
            <v>Fertilizers</v>
          </cell>
          <cell r="D24" t="str">
            <v>-/BBB-/BBB-</v>
          </cell>
          <cell r="F24">
            <v>3.2000000000000001E-2</v>
          </cell>
          <cell r="G24">
            <v>46032</v>
          </cell>
          <cell r="J24">
            <v>2000</v>
          </cell>
          <cell r="K24" t="str">
            <v>US302491AT29</v>
          </cell>
        </row>
        <row r="25">
          <cell r="B25" t="str">
            <v>Aercap Holdings</v>
          </cell>
          <cell r="C25" t="str">
            <v>Leasing and Rental</v>
          </cell>
          <cell r="D25" t="str">
            <v>-/BBB+/BBB+</v>
          </cell>
          <cell r="F25">
            <v>2.4500000000000001E-2</v>
          </cell>
          <cell r="G25" t="str">
            <v>29/10/2026</v>
          </cell>
          <cell r="J25">
            <v>150000</v>
          </cell>
          <cell r="K25" t="str">
            <v>US00774MAV72</v>
          </cell>
        </row>
        <row r="26">
          <cell r="B26" t="str">
            <v>Ford Motor</v>
          </cell>
          <cell r="C26" t="str">
            <v>Motor Vehicle Production</v>
          </cell>
          <cell r="D26" t="str">
            <v>-/BBB-/BBB-</v>
          </cell>
          <cell r="F26">
            <v>4.3459999999999999E-2</v>
          </cell>
          <cell r="G26">
            <v>46246</v>
          </cell>
          <cell r="J26">
            <v>2000</v>
          </cell>
          <cell r="K26" t="str">
            <v>US345370CR99</v>
          </cell>
        </row>
        <row r="27">
          <cell r="B27" t="str">
            <v>Eastman Chemical</v>
          </cell>
          <cell r="C27" t="str">
            <v>Chemical and petrochemical industry</v>
          </cell>
          <cell r="D27" t="str">
            <v>Baa2/BBB/Withdrawn</v>
          </cell>
          <cell r="F27">
            <v>7.5999999999999998E-2</v>
          </cell>
          <cell r="G27">
            <v>46389</v>
          </cell>
          <cell r="J27">
            <v>1000</v>
          </cell>
          <cell r="K27" t="str">
            <v>US277432AD23</v>
          </cell>
        </row>
        <row r="28">
          <cell r="B28" t="str">
            <v>Chemours</v>
          </cell>
          <cell r="C28" t="str">
            <v>Chemical and petrochemical industry</v>
          </cell>
          <cell r="D28" t="str">
            <v>Ba3/BB-/-</v>
          </cell>
          <cell r="F28">
            <v>5.3749999999999999E-2</v>
          </cell>
          <cell r="G28" t="str">
            <v>15/05/2027</v>
          </cell>
          <cell r="J28">
            <v>2000</v>
          </cell>
          <cell r="K28" t="str">
            <v>US163851AE83</v>
          </cell>
        </row>
        <row r="29">
          <cell r="B29" t="str">
            <v>Ally Financial</v>
          </cell>
          <cell r="C29" t="str">
            <v>Banks</v>
          </cell>
          <cell r="D29" t="str">
            <v>Baa3/BBB-/BBB-</v>
          </cell>
          <cell r="F29">
            <v>4.7500000000000001E-2</v>
          </cell>
          <cell r="G29">
            <v>46636</v>
          </cell>
          <cell r="J29">
            <v>2000</v>
          </cell>
          <cell r="K29" t="str">
            <v>US02005NBQ25</v>
          </cell>
        </row>
        <row r="30">
          <cell r="B30" t="str">
            <v>Viatris</v>
          </cell>
          <cell r="C30" t="str">
            <v>Pharmaceutical Preparation and Biotechnology</v>
          </cell>
          <cell r="D30" t="str">
            <v>-/BB+/BBB</v>
          </cell>
          <cell r="F30">
            <v>2.3E-2</v>
          </cell>
          <cell r="G30" t="str">
            <v>22/06/2027</v>
          </cell>
          <cell r="J30">
            <v>2000</v>
          </cell>
          <cell r="K30" t="str">
            <v>US92556VAC00</v>
          </cell>
        </row>
        <row r="31">
          <cell r="B31" t="str">
            <v>Viatris</v>
          </cell>
          <cell r="C31" t="str">
            <v>Pharmaceutical Preparation and Biotechnology</v>
          </cell>
          <cell r="D31" t="str">
            <v>-/BB+/BBB</v>
          </cell>
          <cell r="F31">
            <v>2.3E-2</v>
          </cell>
          <cell r="G31" t="str">
            <v>22/06/2027</v>
          </cell>
          <cell r="J31">
            <v>2000</v>
          </cell>
          <cell r="K31" t="str">
            <v>USU9156BAC91</v>
          </cell>
        </row>
        <row r="32">
          <cell r="B32" t="str">
            <v>YPF</v>
          </cell>
          <cell r="C32" t="str">
            <v>Oil and Gas Extraction and Refining</v>
          </cell>
          <cell r="D32" t="str">
            <v>Caa1/B-/CCC+</v>
          </cell>
          <cell r="F32">
            <v>6.9500000000000006E-2</v>
          </cell>
          <cell r="G32" t="str">
            <v>21/07/2027</v>
          </cell>
          <cell r="J32">
            <v>10000</v>
          </cell>
          <cell r="K32" t="str">
            <v>USP989MJBL47</v>
          </cell>
        </row>
        <row r="33">
          <cell r="B33" t="str">
            <v>Sirius XM Holdings</v>
          </cell>
          <cell r="C33" t="str">
            <v>Media</v>
          </cell>
          <cell r="D33" t="str">
            <v>-/BB+/-</v>
          </cell>
          <cell r="F33">
            <v>0.05</v>
          </cell>
          <cell r="G33">
            <v>46395</v>
          </cell>
          <cell r="J33">
            <v>2000</v>
          </cell>
          <cell r="K33" t="str">
            <v>USU82764AM01</v>
          </cell>
        </row>
        <row r="34">
          <cell r="B34" t="str">
            <v>General Motors</v>
          </cell>
          <cell r="C34" t="str">
            <v>Motor Vehicle Production</v>
          </cell>
          <cell r="D34" t="str">
            <v>-/BBB/BBB</v>
          </cell>
          <cell r="F34">
            <v>6.8000000000000005E-2</v>
          </cell>
          <cell r="G34">
            <v>46397</v>
          </cell>
          <cell r="J34">
            <v>2000</v>
          </cell>
          <cell r="K34" t="str">
            <v>US37045VAU44</v>
          </cell>
        </row>
        <row r="35">
          <cell r="B35" t="str">
            <v>Methanex</v>
          </cell>
          <cell r="C35" t="str">
            <v>Chemical and petrochemical industry</v>
          </cell>
          <cell r="D35" t="str">
            <v>Ba1/BB/BB+</v>
          </cell>
          <cell r="F35">
            <v>5.1249999999999997E-2</v>
          </cell>
          <cell r="G35" t="str">
            <v>15/10/2027</v>
          </cell>
          <cell r="J35">
            <v>2000</v>
          </cell>
          <cell r="K35" t="str">
            <v>US59151KAM09</v>
          </cell>
        </row>
        <row r="36">
          <cell r="B36" t="str">
            <v>Falabella</v>
          </cell>
          <cell r="C36" t="str">
            <v>Specialty Retailers</v>
          </cell>
          <cell r="D36" t="str">
            <v>-/BB+/BB+</v>
          </cell>
          <cell r="F36">
            <v>3.7499999999999999E-2</v>
          </cell>
          <cell r="G36" t="str">
            <v>30/10/2027</v>
          </cell>
          <cell r="J36">
            <v>200000</v>
          </cell>
          <cell r="K36" t="str">
            <v>USP82290AR17</v>
          </cell>
        </row>
        <row r="37">
          <cell r="B37" t="str">
            <v>Braskem</v>
          </cell>
          <cell r="C37" t="str">
            <v>Chemical and petrochemical industry</v>
          </cell>
          <cell r="D37" t="str">
            <v>Ba3/BB+/BB+</v>
          </cell>
          <cell r="F37">
            <v>4.4999999999999998E-2</v>
          </cell>
          <cell r="G37">
            <v>47027</v>
          </cell>
          <cell r="J37">
            <v>200000</v>
          </cell>
          <cell r="K37" t="str">
            <v>USN15516AB83</v>
          </cell>
        </row>
        <row r="38">
          <cell r="B38" t="str">
            <v>Embraer</v>
          </cell>
          <cell r="C38" t="str">
            <v>Aircraft Production and Defense</v>
          </cell>
          <cell r="D38" t="str">
            <v>Baa3/BBB-/BBB-</v>
          </cell>
          <cell r="F38">
            <v>6.9500000000000006E-2</v>
          </cell>
          <cell r="G38" t="str">
            <v>17/01/2028</v>
          </cell>
          <cell r="J38">
            <v>200000</v>
          </cell>
          <cell r="K38" t="str">
            <v>USN29505AA70</v>
          </cell>
        </row>
        <row r="39">
          <cell r="B39" t="str">
            <v>Petrobras</v>
          </cell>
          <cell r="C39" t="str">
            <v>Oil and Gas Extraction and Refining</v>
          </cell>
          <cell r="D39" t="str">
            <v>Ba1/BB/BB</v>
          </cell>
          <cell r="F39">
            <v>5.9990000000000002E-2</v>
          </cell>
          <cell r="G39" t="str">
            <v>27/01/2028</v>
          </cell>
          <cell r="J39">
            <v>2000</v>
          </cell>
          <cell r="K39" t="str">
            <v>USN6945AAK36</v>
          </cell>
        </row>
        <row r="40">
          <cell r="B40" t="str">
            <v>EQT</v>
          </cell>
          <cell r="C40" t="str">
            <v>Oil and Gas Extraction and Refining</v>
          </cell>
          <cell r="D40" t="str">
            <v>Withdrawn/BBB-/BBB-</v>
          </cell>
          <cell r="F40">
            <v>5.7000000000000002E-2</v>
          </cell>
          <cell r="G40">
            <v>46756</v>
          </cell>
          <cell r="J40">
            <v>2000</v>
          </cell>
          <cell r="K40" t="str">
            <v>US26884LAQ23</v>
          </cell>
        </row>
        <row r="41">
          <cell r="B41" t="str">
            <v>Xerox Holdings Corporation</v>
          </cell>
          <cell r="C41" t="str">
            <v>IT equipment</v>
          </cell>
          <cell r="D41" t="str">
            <v>B2/B+/Withdrawn</v>
          </cell>
          <cell r="F41">
            <v>5.5E-2</v>
          </cell>
          <cell r="G41" t="str">
            <v>15/08/2028</v>
          </cell>
          <cell r="J41">
            <v>2000</v>
          </cell>
          <cell r="K41" t="str">
            <v>USU98401AB58</v>
          </cell>
        </row>
        <row r="42">
          <cell r="B42" t="str">
            <v>Fluor</v>
          </cell>
          <cell r="C42" t="str">
            <v>Infrastructure and Special Construction</v>
          </cell>
          <cell r="D42" t="str">
            <v>Ba1/BB+/Withdrawn</v>
          </cell>
          <cell r="F42">
            <v>4.2500000000000003E-2</v>
          </cell>
          <cell r="G42" t="str">
            <v>15/09/2028</v>
          </cell>
          <cell r="J42">
            <v>2000</v>
          </cell>
          <cell r="K42" t="str">
            <v>US343412AF90</v>
          </cell>
        </row>
        <row r="43">
          <cell r="B43" t="str">
            <v>General Motors</v>
          </cell>
          <cell r="C43" t="str">
            <v>Motor Vehicle Production</v>
          </cell>
          <cell r="D43" t="str">
            <v>-/BBB/BBB</v>
          </cell>
          <cell r="F43">
            <v>0.05</v>
          </cell>
          <cell r="G43">
            <v>46762</v>
          </cell>
          <cell r="J43">
            <v>2000</v>
          </cell>
          <cell r="K43" t="str">
            <v>US37045VAS97</v>
          </cell>
        </row>
        <row r="44">
          <cell r="B44" t="str">
            <v>Mercer International</v>
          </cell>
          <cell r="C44" t="str">
            <v>Pulp, Paper and Wood</v>
          </cell>
          <cell r="D44" t="str">
            <v>B2/B/B+</v>
          </cell>
          <cell r="F44">
            <v>0.12875</v>
          </cell>
          <cell r="G44">
            <v>46762</v>
          </cell>
          <cell r="J44">
            <v>2000</v>
          </cell>
          <cell r="K44" t="str">
            <v>USU58839AL29</v>
          </cell>
        </row>
        <row r="45">
          <cell r="B45" t="str">
            <v>Ally Financial</v>
          </cell>
          <cell r="C45" t="str">
            <v>Banks</v>
          </cell>
          <cell r="D45" t="str">
            <v>Baa3/BBB-/BBB-</v>
          </cell>
          <cell r="F45">
            <v>2.1999999999999999E-2</v>
          </cell>
          <cell r="G45">
            <v>46794</v>
          </cell>
          <cell r="J45">
            <v>2000</v>
          </cell>
          <cell r="K45" t="str">
            <v>US02005NBP42</v>
          </cell>
        </row>
        <row r="46">
          <cell r="B46" t="str">
            <v>Eastman Chemical</v>
          </cell>
          <cell r="C46" t="str">
            <v>Chemical and petrochemical industry</v>
          </cell>
          <cell r="D46" t="str">
            <v>Baa2/BBB/Withdrawn</v>
          </cell>
          <cell r="F46">
            <v>4.4999999999999998E-2</v>
          </cell>
          <cell r="G46">
            <v>46764</v>
          </cell>
          <cell r="J46">
            <v>2000</v>
          </cell>
          <cell r="K46" t="str">
            <v>US277432AW04</v>
          </cell>
        </row>
        <row r="47">
          <cell r="B47" t="str">
            <v>EQT</v>
          </cell>
          <cell r="C47" t="str">
            <v>Oil and Gas Extraction and Refining</v>
          </cell>
          <cell r="D47" t="str">
            <v>Withdrawn/BBB-/BBB-</v>
          </cell>
          <cell r="F47">
            <v>0.05</v>
          </cell>
          <cell r="G47" t="str">
            <v>15/01/2029</v>
          </cell>
          <cell r="J47">
            <v>2000</v>
          </cell>
          <cell r="K47" t="str">
            <v>US26884LAL36</v>
          </cell>
        </row>
        <row r="48">
          <cell r="B48" t="str">
            <v>Petrobras</v>
          </cell>
          <cell r="C48" t="str">
            <v>Oil and Gas Extraction and Refining</v>
          </cell>
          <cell r="D48" t="str">
            <v>Ba1/BB/BB</v>
          </cell>
          <cell r="F48">
            <v>5.7500000000000002E-2</v>
          </cell>
          <cell r="G48">
            <v>47120</v>
          </cell>
          <cell r="J48">
            <v>2000</v>
          </cell>
          <cell r="K48" t="str">
            <v>US71647NAZ24</v>
          </cell>
        </row>
        <row r="49">
          <cell r="B49" t="str">
            <v>Occidental Petroleum</v>
          </cell>
          <cell r="C49" t="str">
            <v>Oil and Gas Extraction and Refining</v>
          </cell>
          <cell r="D49" t="str">
            <v>Withdrawn/BB+/BBB-</v>
          </cell>
          <cell r="F49">
            <v>8.4500000000000006E-2</v>
          </cell>
          <cell r="G49" t="str">
            <v>15/02/2029</v>
          </cell>
          <cell r="J49">
            <v>1000</v>
          </cell>
          <cell r="K49" t="str">
            <v>US674599BT13</v>
          </cell>
        </row>
        <row r="50">
          <cell r="B50" t="str">
            <v>Valero Energy</v>
          </cell>
          <cell r="C50" t="str">
            <v>Oil and Gas Extraction and Refining</v>
          </cell>
          <cell r="D50" t="str">
            <v>-/BBB/BBB</v>
          </cell>
          <cell r="F50">
            <v>0.04</v>
          </cell>
          <cell r="G50">
            <v>47122</v>
          </cell>
          <cell r="J50">
            <v>2000</v>
          </cell>
          <cell r="K50" t="str">
            <v>US91913YAW03</v>
          </cell>
        </row>
        <row r="51">
          <cell r="B51" t="str">
            <v>Discovery Communications, LLC</v>
          </cell>
          <cell r="C51" t="str">
            <v>Media</v>
          </cell>
          <cell r="D51" t="str">
            <v>Baa3/BBB-/BBB-</v>
          </cell>
          <cell r="F51">
            <v>4.1250000000000002E-2</v>
          </cell>
          <cell r="G51" t="str">
            <v>15/05/2029</v>
          </cell>
          <cell r="J51">
            <v>2000</v>
          </cell>
          <cell r="K51" t="str">
            <v>US25470DBF50</v>
          </cell>
        </row>
        <row r="52">
          <cell r="B52" t="str">
            <v>Ally Financial</v>
          </cell>
          <cell r="C52" t="str">
            <v>Banks</v>
          </cell>
          <cell r="D52" t="str">
            <v>Baa3/BBB-/BBB-</v>
          </cell>
          <cell r="F52">
            <v>6.9919999999999996E-2</v>
          </cell>
          <cell r="G52" t="str">
            <v>13/06/2029</v>
          </cell>
          <cell r="J52">
            <v>2000</v>
          </cell>
          <cell r="K52" t="str">
            <v>US02005NBT63</v>
          </cell>
        </row>
        <row r="53">
          <cell r="B53" t="str">
            <v>Eastman Chemical</v>
          </cell>
          <cell r="C53" t="str">
            <v>Chemical and petrochemical industry</v>
          </cell>
          <cell r="D53" t="str">
            <v>Baa2/BBB/Withdrawn</v>
          </cell>
          <cell r="F53">
            <v>0.05</v>
          </cell>
          <cell r="G53">
            <v>47126</v>
          </cell>
          <cell r="J53">
            <v>2000</v>
          </cell>
          <cell r="K53" t="str">
            <v>US277432AZ35</v>
          </cell>
        </row>
        <row r="54">
          <cell r="B54" t="str">
            <v>Olin</v>
          </cell>
          <cell r="C54" t="str">
            <v>Chemical and petrochemical industry</v>
          </cell>
          <cell r="D54" t="str">
            <v>-/BB+/BBB-</v>
          </cell>
          <cell r="F54">
            <v>5.6250000000000001E-2</v>
          </cell>
          <cell r="G54">
            <v>47126</v>
          </cell>
          <cell r="J54">
            <v>1000</v>
          </cell>
          <cell r="K54" t="str">
            <v>US680665AL00</v>
          </cell>
        </row>
        <row r="55">
          <cell r="B55" t="str">
            <v>Fluor</v>
          </cell>
          <cell r="C55" t="str">
            <v>Infrastructure and Special Construction</v>
          </cell>
          <cell r="D55" t="str">
            <v>Ba1/BB+/Withdrawn</v>
          </cell>
          <cell r="F55">
            <v>1.125E-2</v>
          </cell>
          <cell r="G55" t="str">
            <v>15/08/2029</v>
          </cell>
          <cell r="J55">
            <v>1000</v>
          </cell>
          <cell r="K55" t="str">
            <v>US343412AJ13</v>
          </cell>
        </row>
        <row r="56">
          <cell r="B56" t="str">
            <v>FMC</v>
          </cell>
          <cell r="C56" t="str">
            <v>Fertilizers</v>
          </cell>
          <cell r="D56" t="str">
            <v>-/BBB-/BBB-</v>
          </cell>
          <cell r="F56">
            <v>3.4500000000000003E-2</v>
          </cell>
          <cell r="G56">
            <v>47128</v>
          </cell>
          <cell r="J56">
            <v>2000</v>
          </cell>
          <cell r="K56" t="str">
            <v>US302491AU91</v>
          </cell>
        </row>
        <row r="57">
          <cell r="B57" t="str">
            <v>Centene</v>
          </cell>
          <cell r="C57" t="str">
            <v>Insurance and Reinsurance</v>
          </cell>
          <cell r="D57" t="str">
            <v>-/-/BBB</v>
          </cell>
          <cell r="F57">
            <v>4.6249999999999999E-2</v>
          </cell>
          <cell r="G57" t="str">
            <v>15/12/2029</v>
          </cell>
          <cell r="J57">
            <v>2000</v>
          </cell>
          <cell r="K57" t="str">
            <v>US15135BAT89</v>
          </cell>
        </row>
        <row r="58">
          <cell r="B58" t="str">
            <v>Methanex</v>
          </cell>
          <cell r="C58" t="str">
            <v>Chemical and petrochemical industry</v>
          </cell>
          <cell r="D58" t="str">
            <v>Ba1/BB/BB+</v>
          </cell>
          <cell r="F58">
            <v>5.2499999999999998E-2</v>
          </cell>
          <cell r="G58" t="str">
            <v>15/12/2029</v>
          </cell>
          <cell r="J58">
            <v>2000</v>
          </cell>
          <cell r="K58" t="str">
            <v>US59151KAL26</v>
          </cell>
        </row>
        <row r="59">
          <cell r="B59" t="str">
            <v>Petrobras</v>
          </cell>
          <cell r="C59" t="str">
            <v>Oil and Gas Extraction and Refining</v>
          </cell>
          <cell r="D59" t="str">
            <v>Ba1/BB/BB</v>
          </cell>
          <cell r="F59">
            <v>5.0930000000000003E-2</v>
          </cell>
          <cell r="G59" t="str">
            <v>15/01/2030</v>
          </cell>
          <cell r="J59">
            <v>2000</v>
          </cell>
          <cell r="K59" t="str">
            <v>US71647NBE85</v>
          </cell>
        </row>
        <row r="60">
          <cell r="B60" t="str">
            <v>EQT</v>
          </cell>
          <cell r="C60" t="str">
            <v>Oil and Gas Extraction and Refining</v>
          </cell>
          <cell r="D60" t="str">
            <v>Withdrawn/BBB-/BBB-</v>
          </cell>
          <cell r="F60">
            <v>7.0000000000000007E-2</v>
          </cell>
          <cell r="G60">
            <v>47485</v>
          </cell>
          <cell r="J60">
            <v>2000</v>
          </cell>
          <cell r="K60" t="str">
            <v>US26884LAG41</v>
          </cell>
        </row>
        <row r="61">
          <cell r="B61" t="str">
            <v>Olin</v>
          </cell>
          <cell r="C61" t="str">
            <v>Chemical and petrochemical industry</v>
          </cell>
          <cell r="D61" t="str">
            <v>-/BB+/BBB-</v>
          </cell>
          <cell r="F61">
            <v>0.05</v>
          </cell>
          <cell r="G61">
            <v>47485</v>
          </cell>
          <cell r="J61">
            <v>1000</v>
          </cell>
          <cell r="K61" t="str">
            <v>US680665AK27</v>
          </cell>
        </row>
        <row r="62">
          <cell r="B62" t="str">
            <v>Tapestry</v>
          </cell>
          <cell r="C62" t="str">
            <v>Specialty Retailers</v>
          </cell>
          <cell r="D62" t="str">
            <v>Baa2/BBB/Withdrawn</v>
          </cell>
          <cell r="F62">
            <v>5.0999999999999997E-2</v>
          </cell>
          <cell r="G62">
            <v>47790</v>
          </cell>
          <cell r="J62">
            <v>2000</v>
          </cell>
          <cell r="K62" t="str">
            <v>US876030AK37</v>
          </cell>
        </row>
        <row r="63">
          <cell r="B63" t="str">
            <v>Discovery Communications, LLC</v>
          </cell>
          <cell r="C63" t="str">
            <v>Media</v>
          </cell>
          <cell r="D63" t="str">
            <v>Baa3/BBB-/BBB-</v>
          </cell>
          <cell r="F63">
            <v>3.6249999999999998E-2</v>
          </cell>
          <cell r="G63" t="str">
            <v>15/05/2030</v>
          </cell>
          <cell r="J63">
            <v>2000</v>
          </cell>
          <cell r="K63" t="str">
            <v>US25470DBJ72</v>
          </cell>
        </row>
        <row r="64">
          <cell r="B64" t="str">
            <v>Viatris</v>
          </cell>
          <cell r="C64" t="str">
            <v>Pharmaceutical Preparation and Biotechnology</v>
          </cell>
          <cell r="D64" t="str">
            <v>-/BB+/BBB</v>
          </cell>
          <cell r="F64">
            <v>2.7E-2</v>
          </cell>
          <cell r="G64" t="str">
            <v>22/06/2030</v>
          </cell>
          <cell r="J64">
            <v>2000</v>
          </cell>
          <cell r="K64" t="str">
            <v>US92556VAD82</v>
          </cell>
        </row>
        <row r="65">
          <cell r="B65" t="str">
            <v>Vale</v>
          </cell>
          <cell r="C65" t="str">
            <v>Ferrous metals</v>
          </cell>
          <cell r="D65" t="str">
            <v>Baa2/BBB-/BBB</v>
          </cell>
          <cell r="F65">
            <v>3.7499999999999999E-2</v>
          </cell>
          <cell r="G65">
            <v>47702</v>
          </cell>
          <cell r="J65">
            <v>2000</v>
          </cell>
          <cell r="K65" t="str">
            <v>US91911TAQ67</v>
          </cell>
        </row>
        <row r="66">
          <cell r="B66" t="str">
            <v>Occidental Petroleum</v>
          </cell>
          <cell r="C66" t="str">
            <v>Oil and Gas Extraction and Refining</v>
          </cell>
          <cell r="D66" t="str">
            <v>Withdrawn/BB+/BBB-</v>
          </cell>
          <cell r="F66">
            <v>8.8749999999999996E-2</v>
          </cell>
          <cell r="G66" t="str">
            <v>15/07/2030</v>
          </cell>
          <cell r="J66">
            <v>2000</v>
          </cell>
          <cell r="K66" t="str">
            <v>US674599EA94</v>
          </cell>
        </row>
        <row r="67">
          <cell r="B67" t="str">
            <v>Embraer</v>
          </cell>
          <cell r="C67" t="str">
            <v>Aircraft Production and Defense</v>
          </cell>
          <cell r="D67" t="str">
            <v>Baa3/BBB-/BBB-</v>
          </cell>
          <cell r="F67">
            <v>7.0000000000000007E-2</v>
          </cell>
          <cell r="G67" t="str">
            <v>28/07/2030</v>
          </cell>
          <cell r="J67">
            <v>200000</v>
          </cell>
          <cell r="K67" t="str">
            <v>USN29505AB53</v>
          </cell>
        </row>
        <row r="68">
          <cell r="B68" t="str">
            <v>Centene</v>
          </cell>
          <cell r="C68" t="str">
            <v>Insurance and Reinsurance</v>
          </cell>
          <cell r="D68" t="str">
            <v>-/-/BBB</v>
          </cell>
          <cell r="F68">
            <v>0.03</v>
          </cell>
          <cell r="G68" t="str">
            <v>15/10/2030</v>
          </cell>
          <cell r="J68">
            <v>2000</v>
          </cell>
          <cell r="K68" t="str">
            <v>US15135BAW19</v>
          </cell>
        </row>
        <row r="69">
          <cell r="B69" t="str">
            <v>Petrobras</v>
          </cell>
          <cell r="C69" t="str">
            <v>Oil and Gas Extraction and Refining</v>
          </cell>
          <cell r="D69" t="str">
            <v>Ba1/BB/BB</v>
          </cell>
          <cell r="F69">
            <v>5.6000000000000001E-2</v>
          </cell>
          <cell r="G69">
            <v>47908</v>
          </cell>
          <cell r="J69">
            <v>2000</v>
          </cell>
          <cell r="K69" t="str">
            <v>US71647NBH17</v>
          </cell>
        </row>
        <row r="70">
          <cell r="B70" t="str">
            <v>Micron Technology</v>
          </cell>
          <cell r="C70" t="str">
            <v>Semiconductors</v>
          </cell>
          <cell r="D70" t="str">
            <v>-/BBB-/BBB</v>
          </cell>
          <cell r="F70">
            <v>5.2999999999999999E-2</v>
          </cell>
          <cell r="G70" t="str">
            <v>15/01/2031</v>
          </cell>
          <cell r="J70">
            <v>2000</v>
          </cell>
          <cell r="K70" t="str">
            <v>US595112CD31</v>
          </cell>
        </row>
        <row r="71">
          <cell r="B71" t="str">
            <v>Hanesbrands</v>
          </cell>
          <cell r="C71" t="str">
            <v>Apparel</v>
          </cell>
          <cell r="D71" t="str">
            <v>-/B+/-</v>
          </cell>
          <cell r="F71">
            <v>0.09</v>
          </cell>
          <cell r="G71" t="str">
            <v>15/02/2031</v>
          </cell>
          <cell r="J71">
            <v>2000</v>
          </cell>
          <cell r="K71" t="str">
            <v>USU24437AG73</v>
          </cell>
        </row>
        <row r="72">
          <cell r="B72" t="str">
            <v>Centene</v>
          </cell>
          <cell r="C72" t="str">
            <v>Insurance and Reinsurance</v>
          </cell>
          <cell r="D72" t="str">
            <v>-/-/BBB</v>
          </cell>
          <cell r="F72">
            <v>2.5000000000000001E-2</v>
          </cell>
          <cell r="G72">
            <v>47851</v>
          </cell>
          <cell r="J72">
            <v>2000</v>
          </cell>
          <cell r="K72" t="str">
            <v>US15135BAX91</v>
          </cell>
        </row>
        <row r="73">
          <cell r="B73" t="str">
            <v>British American Tobacco</v>
          </cell>
          <cell r="C73" t="str">
            <v>Tobacco</v>
          </cell>
          <cell r="D73" t="str">
            <v>Baa1/BBB+/BBB+</v>
          </cell>
          <cell r="F73">
            <v>2.726E-2</v>
          </cell>
          <cell r="G73" t="str">
            <v>25/03/2031</v>
          </cell>
          <cell r="J73">
            <v>2000</v>
          </cell>
          <cell r="K73" t="str">
            <v>US05526DBS36</v>
          </cell>
        </row>
        <row r="74">
          <cell r="B74" t="str">
            <v>Warner Media</v>
          </cell>
          <cell r="C74" t="str">
            <v>Media</v>
          </cell>
          <cell r="D74" t="str">
            <v>Withdrawn/BBB-/BBB-</v>
          </cell>
          <cell r="F74">
            <v>7.6249999999999998E-2</v>
          </cell>
          <cell r="G74" t="str">
            <v>15/04/2031</v>
          </cell>
          <cell r="J74">
            <v>1000</v>
          </cell>
          <cell r="K74" t="str">
            <v>US00184AAC99</v>
          </cell>
        </row>
        <row r="75">
          <cell r="B75" t="str">
            <v>EQT</v>
          </cell>
          <cell r="C75" t="str">
            <v>Oil and Gas Extraction and Refining</v>
          </cell>
          <cell r="D75" t="str">
            <v>Withdrawn/BBB-/BBB-</v>
          </cell>
          <cell r="F75">
            <v>3.6249999999999998E-2</v>
          </cell>
          <cell r="G75" t="str">
            <v>15/05/2031</v>
          </cell>
          <cell r="J75">
            <v>2000</v>
          </cell>
          <cell r="K75" t="str">
            <v>USU2689EAB66</v>
          </cell>
        </row>
        <row r="76">
          <cell r="B76" t="str">
            <v>Whirlpool</v>
          </cell>
          <cell r="C76" t="str">
            <v>Domestic Appliances</v>
          </cell>
          <cell r="D76" t="str">
            <v>Ba1/BB+/BB+</v>
          </cell>
          <cell r="F76">
            <v>2.4E-2</v>
          </cell>
          <cell r="G76" t="str">
            <v>15/05/2031</v>
          </cell>
          <cell r="J76">
            <v>2000</v>
          </cell>
          <cell r="K76" t="str">
            <v>US963320AY28</v>
          </cell>
        </row>
        <row r="77">
          <cell r="B77" t="str">
            <v>Occidental Petroleum</v>
          </cell>
          <cell r="C77" t="str">
            <v>Oil and Gas Extraction and Refining</v>
          </cell>
          <cell r="D77" t="str">
            <v>Withdrawn/BB+/BBB-</v>
          </cell>
          <cell r="F77">
            <v>7.8750000000000001E-2</v>
          </cell>
          <cell r="G77" t="str">
            <v>15/09/2031</v>
          </cell>
          <cell r="J77">
            <v>1000</v>
          </cell>
          <cell r="K77" t="str">
            <v>US674599DE26</v>
          </cell>
        </row>
        <row r="78">
          <cell r="B78" t="str">
            <v>Occidental Petroleum</v>
          </cell>
          <cell r="C78" t="str">
            <v>Oil and Gas Extraction and Refining</v>
          </cell>
          <cell r="D78" t="str">
            <v>Withdrawn/BB+/BBB-</v>
          </cell>
          <cell r="F78">
            <v>5.3749999999999999E-2</v>
          </cell>
          <cell r="G78">
            <v>48214</v>
          </cell>
          <cell r="J78">
            <v>2000</v>
          </cell>
          <cell r="K78" t="str">
            <v>US674599EK76</v>
          </cell>
        </row>
        <row r="79">
          <cell r="B79" t="str">
            <v>Falabella</v>
          </cell>
          <cell r="C79" t="str">
            <v>Specialty Retailers</v>
          </cell>
          <cell r="D79" t="str">
            <v>-/BB+/BB+</v>
          </cell>
          <cell r="F79">
            <v>3.3750000000000002E-2</v>
          </cell>
          <cell r="G79" t="str">
            <v>15/01/2032</v>
          </cell>
          <cell r="J79">
            <v>200000</v>
          </cell>
          <cell r="K79" t="str">
            <v>USP3984LAA81</v>
          </cell>
        </row>
        <row r="80">
          <cell r="B80" t="str">
            <v>Methanex US Operations</v>
          </cell>
          <cell r="C80" t="str">
            <v>Food and Beverage Production</v>
          </cell>
          <cell r="D80" t="str">
            <v>-/-/BB+</v>
          </cell>
          <cell r="F80">
            <v>6.25E-2</v>
          </cell>
          <cell r="G80" t="str">
            <v>15/03/2032</v>
          </cell>
          <cell r="J80">
            <v>2000</v>
          </cell>
          <cell r="K80" t="str">
            <v>USU59224AA07</v>
          </cell>
        </row>
        <row r="81">
          <cell r="B81" t="str">
            <v>Tapestry</v>
          </cell>
          <cell r="C81" t="str">
            <v>Specialty Retailers</v>
          </cell>
          <cell r="D81" t="str">
            <v>Baa2/BBB/Withdrawn</v>
          </cell>
          <cell r="F81">
            <v>3.0499999999999999E-2</v>
          </cell>
          <cell r="G81" t="str">
            <v>15/03/2032</v>
          </cell>
          <cell r="J81">
            <v>2000</v>
          </cell>
          <cell r="K81" t="str">
            <v>US876030AA54</v>
          </cell>
        </row>
        <row r="82">
          <cell r="B82" t="str">
            <v>British American Tobacco</v>
          </cell>
          <cell r="C82" t="str">
            <v>Tobacco</v>
          </cell>
          <cell r="D82" t="str">
            <v>Baa1/BBB+/BBB+</v>
          </cell>
          <cell r="F82">
            <v>4.7419999999999997E-2</v>
          </cell>
          <cell r="G82" t="str">
            <v>16/03/2032</v>
          </cell>
          <cell r="J82">
            <v>2000</v>
          </cell>
          <cell r="K82" t="str">
            <v>US05526DBW48</v>
          </cell>
        </row>
        <row r="83">
          <cell r="B83" t="str">
            <v>Warner Media</v>
          </cell>
          <cell r="C83" t="str">
            <v>Media</v>
          </cell>
          <cell r="D83" t="str">
            <v>Withdrawn/BBB-/BBB-</v>
          </cell>
          <cell r="F83">
            <v>7.6999999999999999E-2</v>
          </cell>
          <cell r="G83">
            <v>48218</v>
          </cell>
          <cell r="J83">
            <v>1000</v>
          </cell>
          <cell r="K83" t="str">
            <v>US00184AAG04</v>
          </cell>
        </row>
        <row r="84">
          <cell r="B84" t="str">
            <v>Whirlpool</v>
          </cell>
          <cell r="C84" t="str">
            <v>Domestic Appliances</v>
          </cell>
          <cell r="D84" t="str">
            <v>Ba1/BB+/BB+</v>
          </cell>
          <cell r="F84">
            <v>4.7E-2</v>
          </cell>
          <cell r="G84" t="str">
            <v>14/05/2032</v>
          </cell>
          <cell r="J84">
            <v>2000</v>
          </cell>
          <cell r="K84" t="str">
            <v>US963320AZ92</v>
          </cell>
        </row>
        <row r="85">
          <cell r="B85" t="str">
            <v>Micron Technology</v>
          </cell>
          <cell r="C85" t="str">
            <v>Semiconductors</v>
          </cell>
          <cell r="D85" t="str">
            <v>-/BBB-/BBB</v>
          </cell>
          <cell r="F85">
            <v>5.6500000000000002E-2</v>
          </cell>
          <cell r="G85">
            <v>48224</v>
          </cell>
          <cell r="J85">
            <v>2000</v>
          </cell>
          <cell r="K85" t="str">
            <v>US595112CG61</v>
          </cell>
        </row>
        <row r="86">
          <cell r="B86" t="str">
            <v>Mercer International</v>
          </cell>
          <cell r="C86" t="str">
            <v>Pulp, Paper and Wood</v>
          </cell>
          <cell r="D86" t="str">
            <v>B2/B/B+</v>
          </cell>
          <cell r="G86" t="str">
            <v>15/01/2026</v>
          </cell>
          <cell r="J86">
            <v>2000</v>
          </cell>
          <cell r="K86" t="str">
            <v>US588056AW17</v>
          </cell>
        </row>
        <row r="87">
          <cell r="B87" t="str">
            <v>Hanesbrands</v>
          </cell>
          <cell r="C87" t="str">
            <v>Apparel</v>
          </cell>
          <cell r="D87" t="str">
            <v>-/B+/-</v>
          </cell>
          <cell r="G87" t="str">
            <v>15/05/2026</v>
          </cell>
          <cell r="J87">
            <v>2000</v>
          </cell>
          <cell r="K87" t="str">
            <v>USU24437AE26</v>
          </cell>
        </row>
        <row r="88">
          <cell r="B88" t="str">
            <v>Pampa Energia</v>
          </cell>
          <cell r="C88" t="str">
            <v>Power</v>
          </cell>
          <cell r="D88" t="str">
            <v>Caa1/B-/B-</v>
          </cell>
          <cell r="G88" t="str">
            <v>24/01/2027</v>
          </cell>
          <cell r="J88">
            <v>150000</v>
          </cell>
          <cell r="K88" t="str">
            <v>USP7464EAA49</v>
          </cell>
        </row>
        <row r="89">
          <cell r="B89" t="str">
            <v>Embraer</v>
          </cell>
          <cell r="C89" t="str">
            <v>Aircraft Production and Defense</v>
          </cell>
          <cell r="D89" t="str">
            <v>Baa3/BBB-/BBB-</v>
          </cell>
          <cell r="G89">
            <v>46389</v>
          </cell>
          <cell r="J89">
            <v>2000</v>
          </cell>
          <cell r="K89" t="str">
            <v>US29082HAB87</v>
          </cell>
        </row>
        <row r="90">
          <cell r="B90" t="str">
            <v>Olin</v>
          </cell>
          <cell r="C90" t="str">
            <v>Chemical and petrochemical industry</v>
          </cell>
          <cell r="D90" t="str">
            <v>-/BB+/BBB-</v>
          </cell>
          <cell r="G90" t="str">
            <v>15/09/2027</v>
          </cell>
          <cell r="J90">
            <v>1000</v>
          </cell>
          <cell r="K90" t="str">
            <v>US680665AJ53</v>
          </cell>
        </row>
        <row r="91">
          <cell r="B91" t="str">
            <v>Tapestry</v>
          </cell>
          <cell r="C91" t="str">
            <v>Specialty Retailers</v>
          </cell>
          <cell r="D91" t="str">
            <v>Baa2/BBB/Withdrawn</v>
          </cell>
          <cell r="G91" t="str">
            <v>27/11/2028</v>
          </cell>
          <cell r="J91">
            <v>2000</v>
          </cell>
          <cell r="K91" t="str">
            <v>US876030AD93</v>
          </cell>
        </row>
        <row r="92">
          <cell r="B92" t="str">
            <v>Tapestry</v>
          </cell>
          <cell r="C92" t="str">
            <v>Specialty Retailers</v>
          </cell>
          <cell r="D92" t="str">
            <v>Baa2/BBB/Withdrawn</v>
          </cell>
          <cell r="G92" t="str">
            <v>27/11/2030</v>
          </cell>
          <cell r="J92">
            <v>2000</v>
          </cell>
          <cell r="K92" t="str">
            <v>US876030AE76</v>
          </cell>
        </row>
        <row r="93">
          <cell r="B93" t="str">
            <v>Aercap Holdings</v>
          </cell>
          <cell r="C93" t="str">
            <v>Leasing and Rental</v>
          </cell>
          <cell r="D93" t="str">
            <v>-/BBB+/BBB+</v>
          </cell>
          <cell r="G93" t="str">
            <v>29/10/2024</v>
          </cell>
          <cell r="J93">
            <v>150000</v>
          </cell>
          <cell r="K93" t="str">
            <v>US00774MBB00</v>
          </cell>
        </row>
        <row r="94">
          <cell r="B94" t="str">
            <v>Warner Bros. Discovery</v>
          </cell>
          <cell r="C94" t="str">
            <v>Media</v>
          </cell>
          <cell r="D94" t="str">
            <v>-/BBB-/BBB-</v>
          </cell>
          <cell r="G94" t="str">
            <v>15/11/2024</v>
          </cell>
          <cell r="J94">
            <v>2000</v>
          </cell>
          <cell r="K94" t="str">
            <v>US811065AC57</v>
          </cell>
        </row>
        <row r="95">
          <cell r="B95" t="str">
            <v>Fluor</v>
          </cell>
          <cell r="C95" t="str">
            <v>Infrastructure and Special Construction</v>
          </cell>
          <cell r="D95" t="str">
            <v>Ba1/BB+/Withdrawn</v>
          </cell>
          <cell r="G95" t="str">
            <v>15/12/2024</v>
          </cell>
          <cell r="J95">
            <v>2000</v>
          </cell>
          <cell r="K95" t="str">
            <v>US343412AC69</v>
          </cell>
        </row>
        <row r="96">
          <cell r="B96" t="str">
            <v>Falabella</v>
          </cell>
          <cell r="C96" t="str">
            <v>Specialty Retailers</v>
          </cell>
          <cell r="D96" t="str">
            <v>-/BB+/BB+</v>
          </cell>
          <cell r="G96" t="str">
            <v>27/01/2025</v>
          </cell>
          <cell r="J96">
            <v>200000</v>
          </cell>
          <cell r="K96" t="str">
            <v>USP82290AG51</v>
          </cell>
        </row>
        <row r="97">
          <cell r="B97" t="str">
            <v>Eastman Chemical</v>
          </cell>
          <cell r="C97" t="str">
            <v>Chemical and petrochemical industry</v>
          </cell>
          <cell r="D97" t="str">
            <v>Baa2/BBB/Withdrawn</v>
          </cell>
          <cell r="G97" t="str">
            <v>15/03/2025</v>
          </cell>
          <cell r="J97">
            <v>2000</v>
          </cell>
          <cell r="K97" t="str">
            <v>US277432AR19</v>
          </cell>
        </row>
      </sheetData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onos"/>
      <sheetName val="acciones"/>
      <sheetName val="índices"/>
      <sheetName val="etf &amp; funds"/>
    </sheetNames>
    <sheetDataSet>
      <sheetData sheetId="0">
        <row r="2">
          <cell r="H2">
            <v>94.795000000000002</v>
          </cell>
          <cell r="K2">
            <v>4.8898341721933001</v>
          </cell>
          <cell r="AG2" t="str">
            <v>USU81522AD31</v>
          </cell>
          <cell r="AP2">
            <v>80.942813493852995</v>
          </cell>
        </row>
        <row r="3">
          <cell r="H3">
            <v>100</v>
          </cell>
          <cell r="K3" t="str">
            <v/>
          </cell>
          <cell r="AG3" t="str">
            <v>XS1134541561</v>
          </cell>
          <cell r="AP3" t="str">
            <v/>
          </cell>
        </row>
        <row r="4">
          <cell r="H4">
            <v>98.9</v>
          </cell>
          <cell r="K4">
            <v>5.1857528710981997</v>
          </cell>
          <cell r="AG4" t="str">
            <v>XS1636266832</v>
          </cell>
          <cell r="AP4">
            <v>112.49941078243999</v>
          </cell>
        </row>
        <row r="5">
          <cell r="H5">
            <v>98.6</v>
          </cell>
          <cell r="K5">
            <v>7.4004697437736002</v>
          </cell>
          <cell r="AG5" t="str">
            <v>USL00849AA47</v>
          </cell>
          <cell r="AP5">
            <v>333.53763720927998</v>
          </cell>
        </row>
        <row r="6">
          <cell r="H6">
            <v>99.5</v>
          </cell>
          <cell r="K6">
            <v>4.3908531690574</v>
          </cell>
          <cell r="AG6" t="str">
            <v>US00774MAV72</v>
          </cell>
          <cell r="AP6">
            <v>35.044994044577003</v>
          </cell>
        </row>
        <row r="7">
          <cell r="H7">
            <v>99.905000000000001</v>
          </cell>
          <cell r="K7">
            <v>4.7551093516370004</v>
          </cell>
          <cell r="AG7" t="str">
            <v>US00774MAR60</v>
          </cell>
          <cell r="AP7">
            <v>68.730736098094994</v>
          </cell>
        </row>
        <row r="8">
          <cell r="H8">
            <v>99.915000000000006</v>
          </cell>
          <cell r="K8">
            <v>5.3134796696329998</v>
          </cell>
          <cell r="AG8" t="str">
            <v>USC01026BC38</v>
          </cell>
          <cell r="AP8">
            <v>127.74388585951</v>
          </cell>
        </row>
        <row r="9">
          <cell r="H9">
            <v>94.102000000000004</v>
          </cell>
          <cell r="K9">
            <v>5.0342310397633003</v>
          </cell>
          <cell r="AG9" t="str">
            <v>US02005NBP42</v>
          </cell>
          <cell r="AP9">
            <v>92.363190210389007</v>
          </cell>
        </row>
        <row r="10">
          <cell r="H10">
            <v>103.25</v>
          </cell>
          <cell r="K10">
            <v>5.2262981503403001</v>
          </cell>
          <cell r="AG10" t="str">
            <v>US02005NBT63</v>
          </cell>
          <cell r="AP10">
            <v>113.49555342230001</v>
          </cell>
        </row>
        <row r="11">
          <cell r="H11">
            <v>98.2</v>
          </cell>
          <cell r="K11">
            <v>6.0892206099960999</v>
          </cell>
          <cell r="AG11" t="str">
            <v>US04010LBK89</v>
          </cell>
          <cell r="AP11">
            <v>190.23409560722999</v>
          </cell>
        </row>
        <row r="12">
          <cell r="H12">
            <v>100.52500000000001</v>
          </cell>
          <cell r="K12">
            <v>5.8378605733628</v>
          </cell>
          <cell r="AG12" t="str">
            <v>US04010LBG77</v>
          </cell>
          <cell r="AP12">
            <v>169.98240628127999</v>
          </cell>
        </row>
        <row r="13">
          <cell r="H13">
            <v>87.075000000000003</v>
          </cell>
          <cell r="K13">
            <v>8.1009002179056004</v>
          </cell>
          <cell r="AG13" t="str">
            <v>US040114HS26</v>
          </cell>
          <cell r="AP13">
            <v>399.57906669957998</v>
          </cell>
        </row>
        <row r="14">
          <cell r="H14">
            <v>89.165000000000006</v>
          </cell>
          <cell r="K14">
            <v>8.1715518170997008</v>
          </cell>
          <cell r="AG14" t="str">
            <v>US040114HX11</v>
          </cell>
          <cell r="AP14">
            <v>408.62989790303999</v>
          </cell>
        </row>
        <row r="15">
          <cell r="H15">
            <v>79.185000000000002</v>
          </cell>
          <cell r="K15">
            <v>9.2460530465932003</v>
          </cell>
          <cell r="AG15" t="str">
            <v>US040114HT09</v>
          </cell>
          <cell r="AP15">
            <v>493.38428751606</v>
          </cell>
        </row>
        <row r="16">
          <cell r="H16">
            <v>56.16</v>
          </cell>
          <cell r="K16">
            <v>35.215320050537997</v>
          </cell>
          <cell r="AG16" t="str">
            <v>ARARGE3209S6</v>
          </cell>
          <cell r="AP16">
            <v>3112.2784590568999</v>
          </cell>
        </row>
        <row r="17">
          <cell r="H17">
            <v>77.628</v>
          </cell>
          <cell r="K17">
            <v>9.6334393432876997</v>
          </cell>
          <cell r="AG17" t="str">
            <v>ARARGE3209T4</v>
          </cell>
          <cell r="AP17">
            <v>532.23688399647995</v>
          </cell>
        </row>
        <row r="18">
          <cell r="H18">
            <v>99.626999999999995</v>
          </cell>
          <cell r="K18">
            <v>4.7078388653495997</v>
          </cell>
          <cell r="AG18" t="str">
            <v>AU3CB0236776</v>
          </cell>
          <cell r="AP18" t="str">
            <v/>
          </cell>
        </row>
        <row r="19">
          <cell r="H19">
            <v>82.512500000000003</v>
          </cell>
          <cell r="K19">
            <v>4.8183716353805996</v>
          </cell>
          <cell r="AG19" t="str">
            <v>AU0000101792</v>
          </cell>
          <cell r="AP19" t="str">
            <v/>
          </cell>
        </row>
        <row r="20">
          <cell r="H20">
            <v>48.831000000000003</v>
          </cell>
          <cell r="K20">
            <v>5.6807205664540001</v>
          </cell>
          <cell r="AG20" t="str">
            <v>AU0000097495</v>
          </cell>
          <cell r="AP20" t="str">
            <v/>
          </cell>
        </row>
        <row r="21">
          <cell r="H21">
            <v>100.05</v>
          </cell>
          <cell r="K21">
            <v>5.7761295322102999</v>
          </cell>
          <cell r="AG21" t="str">
            <v>USU05375AS64</v>
          </cell>
          <cell r="AP21">
            <v>171.61428222468001</v>
          </cell>
        </row>
        <row r="22">
          <cell r="H22">
            <v>99.89</v>
          </cell>
          <cell r="K22">
            <v>4.4478558571078004</v>
          </cell>
          <cell r="AG22" t="str">
            <v>US05964HAB15</v>
          </cell>
          <cell r="AP22">
            <v>39.59677205517</v>
          </cell>
        </row>
        <row r="23">
          <cell r="H23">
            <v>101.75</v>
          </cell>
          <cell r="K23">
            <v>5.4898642956866999</v>
          </cell>
          <cell r="AG23" t="str">
            <v>US05968LAK89</v>
          </cell>
          <cell r="AP23">
            <v>142.23114590387999</v>
          </cell>
        </row>
        <row r="24">
          <cell r="H24">
            <v>99.342500000000001</v>
          </cell>
          <cell r="K24">
            <v>4.7473948260665999</v>
          </cell>
          <cell r="AG24" t="str">
            <v>US06051GGC78</v>
          </cell>
          <cell r="AP24">
            <v>67.542521159898996</v>
          </cell>
        </row>
        <row r="25">
          <cell r="H25">
            <v>99.412000000000006</v>
          </cell>
          <cell r="K25">
            <v>4.8129105742923004</v>
          </cell>
          <cell r="AG25" t="str">
            <v>US06738EAU91</v>
          </cell>
          <cell r="AP25">
            <v>73.623480706421006</v>
          </cell>
        </row>
        <row r="26">
          <cell r="H26">
            <v>53.604999999999997</v>
          </cell>
          <cell r="K26">
            <v>61.799509103391003</v>
          </cell>
          <cell r="AG26" t="str">
            <v>USN15516AB83</v>
          </cell>
          <cell r="AP26">
            <v>5772.3409564223002</v>
          </cell>
        </row>
        <row r="27">
          <cell r="H27">
            <v>99.575000000000003</v>
          </cell>
          <cell r="K27">
            <v>6.1636266314597004</v>
          </cell>
          <cell r="AG27" t="str">
            <v>US105756CF53</v>
          </cell>
          <cell r="AP27">
            <v>183.23384875427001</v>
          </cell>
        </row>
        <row r="28">
          <cell r="H28">
            <v>112.17</v>
          </cell>
          <cell r="K28">
            <v>6.2906562882369998</v>
          </cell>
          <cell r="AG28" t="str">
            <v>US105756BB58</v>
          </cell>
          <cell r="AP28">
            <v>196.23823851303999</v>
          </cell>
        </row>
        <row r="29">
          <cell r="H29">
            <v>90.408500000000004</v>
          </cell>
          <cell r="K29">
            <v>5.1195611694260004</v>
          </cell>
          <cell r="AG29" t="str">
            <v>US05526DBS36</v>
          </cell>
          <cell r="AP29">
            <v>88.923315379433006</v>
          </cell>
        </row>
        <row r="30">
          <cell r="H30">
            <v>98.137500000000003</v>
          </cell>
          <cell r="K30">
            <v>5.1903522881253998</v>
          </cell>
          <cell r="AG30" t="str">
            <v>US05526DBW48</v>
          </cell>
          <cell r="AP30">
            <v>92.336058409939</v>
          </cell>
        </row>
        <row r="31">
          <cell r="H31">
            <v>106.345</v>
          </cell>
          <cell r="K31">
            <v>5.3970440982665</v>
          </cell>
          <cell r="AG31" t="str">
            <v>US054989AB41</v>
          </cell>
          <cell r="AP31">
            <v>108.21583503986</v>
          </cell>
        </row>
        <row r="32">
          <cell r="H32">
            <v>99.845399999999998</v>
          </cell>
          <cell r="K32">
            <v>4.4347616593610004</v>
          </cell>
          <cell r="AG32" t="str">
            <v>US254709AM01</v>
          </cell>
          <cell r="AP32">
            <v>38.770182521099997</v>
          </cell>
        </row>
        <row r="33">
          <cell r="H33">
            <v>86.842500000000001</v>
          </cell>
          <cell r="K33">
            <v>5.8792735535786003</v>
          </cell>
          <cell r="AG33" t="str">
            <v>US15135BAX91</v>
          </cell>
          <cell r="AP33">
            <v>165.20963267785999</v>
          </cell>
        </row>
        <row r="34">
          <cell r="H34">
            <v>90.164500000000004</v>
          </cell>
          <cell r="K34">
            <v>5.7259922256740001</v>
          </cell>
          <cell r="AG34" t="str">
            <v>US15135BAW19</v>
          </cell>
          <cell r="AP34">
            <v>152.08590784775001</v>
          </cell>
        </row>
        <row r="35">
          <cell r="H35">
            <v>99.36</v>
          </cell>
          <cell r="K35">
            <v>4.7825014422559997</v>
          </cell>
          <cell r="AG35" t="str">
            <v>US15135BAR24</v>
          </cell>
          <cell r="AP35">
            <v>70.846265349839001</v>
          </cell>
        </row>
        <row r="36">
          <cell r="H36">
            <v>94.405000000000001</v>
          </cell>
          <cell r="K36">
            <v>6.6349128086422002</v>
          </cell>
          <cell r="AG36" t="str">
            <v>USU16309AJ22</v>
          </cell>
          <cell r="AP36">
            <v>248.06042214619001</v>
          </cell>
        </row>
        <row r="37">
          <cell r="H37">
            <v>100.625</v>
          </cell>
          <cell r="K37">
            <v>4.8534507717641002</v>
          </cell>
          <cell r="AG37" t="str">
            <v>US163851AE83</v>
          </cell>
          <cell r="AP37">
            <v>99.653817680819998</v>
          </cell>
        </row>
        <row r="38">
          <cell r="H38">
            <v>99.14</v>
          </cell>
          <cell r="K38">
            <v>6.2446701815574999</v>
          </cell>
          <cell r="AG38" t="str">
            <v>USU16309AH65</v>
          </cell>
          <cell r="AP38">
            <v>213.61638444050001</v>
          </cell>
        </row>
        <row r="39">
          <cell r="H39">
            <v>102.50449999999999</v>
          </cell>
          <cell r="K39">
            <v>5.8064577333980996</v>
          </cell>
          <cell r="AG39" t="str">
            <v>US17327CAR43</v>
          </cell>
          <cell r="AP39">
            <v>149.16769989029001</v>
          </cell>
        </row>
        <row r="40">
          <cell r="H40">
            <v>99.97</v>
          </cell>
          <cell r="K40">
            <v>5.1257544897673997</v>
          </cell>
          <cell r="AG40" t="str">
            <v>USU09784AC02</v>
          </cell>
          <cell r="AP40">
            <v>139.97638675799999</v>
          </cell>
        </row>
        <row r="41">
          <cell r="H41">
            <v>102.38549999999999</v>
          </cell>
          <cell r="K41">
            <v>7.1566025866339</v>
          </cell>
          <cell r="AG41" t="str">
            <v>USU1638HAA50</v>
          </cell>
          <cell r="AP41">
            <v>306.39095720713999</v>
          </cell>
        </row>
        <row r="42">
          <cell r="H42">
            <v>84.625</v>
          </cell>
          <cell r="K42">
            <v>14.00107155779</v>
          </cell>
          <cell r="AG42" t="str">
            <v>USU18510AE44</v>
          </cell>
          <cell r="AP42">
            <v>990.35448851802005</v>
          </cell>
        </row>
        <row r="43">
          <cell r="H43">
            <v>99.614999999999995</v>
          </cell>
          <cell r="K43">
            <v>6.9211017911116999</v>
          </cell>
          <cell r="AG43" t="str">
            <v>US20602DAB73</v>
          </cell>
          <cell r="AP43">
            <v>282.63788339886997</v>
          </cell>
        </row>
        <row r="44">
          <cell r="H44">
            <v>96.625</v>
          </cell>
          <cell r="K44">
            <v>5.6884236132800998</v>
          </cell>
          <cell r="AG44" t="str">
            <v>USU23888AE71</v>
          </cell>
          <cell r="AP44">
            <v>150.74440510137001</v>
          </cell>
        </row>
        <row r="45">
          <cell r="H45">
            <v>77.144999999999996</v>
          </cell>
          <cell r="K45">
            <v>11.449925268537999</v>
          </cell>
          <cell r="AG45" t="str">
            <v>US25470DCC11</v>
          </cell>
          <cell r="AP45">
            <v>726.99066616861001</v>
          </cell>
        </row>
        <row r="46">
          <cell r="H46">
            <v>91.35</v>
          </cell>
          <cell r="K46">
            <v>6.2060902779280003</v>
          </cell>
          <cell r="AG46" t="str">
            <v>US55903VBQ59</v>
          </cell>
          <cell r="AP46">
            <v>193.71209862641001</v>
          </cell>
        </row>
        <row r="47">
          <cell r="H47">
            <v>92.59</v>
          </cell>
          <cell r="K47">
            <v>5.4655897091694996</v>
          </cell>
          <cell r="AG47" t="str">
            <v>USU2689EAB66</v>
          </cell>
          <cell r="AP47">
            <v>123.21302337231</v>
          </cell>
        </row>
        <row r="48">
          <cell r="H48">
            <v>105.5663</v>
          </cell>
          <cell r="K48">
            <v>5.3167478739792999</v>
          </cell>
          <cell r="AG48" t="str">
            <v>US26884LAG41</v>
          </cell>
          <cell r="AP48">
            <v>116.12869134604</v>
          </cell>
        </row>
        <row r="49">
          <cell r="H49">
            <v>99.096599999999995</v>
          </cell>
          <cell r="K49">
            <v>4.9684822597879998</v>
          </cell>
          <cell r="AG49" t="str">
            <v>US277432AW04</v>
          </cell>
          <cell r="AP49">
            <v>85.654212702403001</v>
          </cell>
        </row>
        <row r="50">
          <cell r="H50">
            <v>97.14</v>
          </cell>
          <cell r="K50">
            <v>5.2775961551588999</v>
          </cell>
          <cell r="AG50" t="str">
            <v>US277432BB57</v>
          </cell>
          <cell r="AP50">
            <v>106.35347008796001</v>
          </cell>
        </row>
        <row r="51">
          <cell r="H51">
            <v>99.944999999999993</v>
          </cell>
          <cell r="K51">
            <v>5.0823082063419003</v>
          </cell>
          <cell r="AG51" t="str">
            <v>US277432AZ35</v>
          </cell>
          <cell r="AP51">
            <v>94.394347920116005</v>
          </cell>
        </row>
        <row r="52">
          <cell r="H52">
            <v>106.017</v>
          </cell>
          <cell r="K52">
            <v>6.0768609608236996</v>
          </cell>
          <cell r="AG52" t="str">
            <v>US279158AT64</v>
          </cell>
          <cell r="AP52">
            <v>196.25440799008001</v>
          </cell>
        </row>
        <row r="53">
          <cell r="H53">
            <v>102.9</v>
          </cell>
          <cell r="K53">
            <v>5.6258500906032998</v>
          </cell>
          <cell r="AG53" t="str">
            <v>US29082HAE27</v>
          </cell>
          <cell r="AP53">
            <v>123.99159377725</v>
          </cell>
        </row>
        <row r="54">
          <cell r="H54">
            <v>108.4</v>
          </cell>
          <cell r="K54">
            <v>4.8028528899121001</v>
          </cell>
          <cell r="AG54" t="str">
            <v>USN29505AB53</v>
          </cell>
          <cell r="AP54">
            <v>76.010527540115007</v>
          </cell>
        </row>
        <row r="55">
          <cell r="H55">
            <v>100.03</v>
          </cell>
          <cell r="K55">
            <v>4.9154254315666996</v>
          </cell>
          <cell r="AG55" t="str">
            <v>US29278DAA37</v>
          </cell>
          <cell r="AP55">
            <v>82.304527828741001</v>
          </cell>
        </row>
        <row r="56">
          <cell r="H56">
            <v>96.6</v>
          </cell>
          <cell r="K56">
            <v>5.5462448562795998</v>
          </cell>
          <cell r="AG56" t="str">
            <v>US845467AT68</v>
          </cell>
          <cell r="AP56">
            <v>128.79822976643001</v>
          </cell>
        </row>
        <row r="57">
          <cell r="H57">
            <v>97.866249999999994</v>
          </cell>
          <cell r="K57">
            <v>6.4017870851897998</v>
          </cell>
          <cell r="AG57" t="str">
            <v>USU84517AC25</v>
          </cell>
          <cell r="AP57">
            <v>228.58962701914001</v>
          </cell>
        </row>
        <row r="58">
          <cell r="H58">
            <v>99.981999999999999</v>
          </cell>
          <cell r="K58">
            <v>5.4545154701668004</v>
          </cell>
          <cell r="AG58" t="str">
            <v>US845467AR03</v>
          </cell>
          <cell r="AP58">
            <v>133.84872855536</v>
          </cell>
        </row>
        <row r="59">
          <cell r="H59">
            <v>99.394999999999996</v>
          </cell>
          <cell r="K59">
            <v>5.8749240448719</v>
          </cell>
          <cell r="AG59" t="str">
            <v>US165167DH73</v>
          </cell>
          <cell r="AP59">
            <v>147.81754548412999</v>
          </cell>
        </row>
        <row r="60">
          <cell r="H60">
            <v>100</v>
          </cell>
          <cell r="K60">
            <v>5.9570770289033002</v>
          </cell>
          <cell r="AG60" t="str">
            <v>USU16450BB00</v>
          </cell>
          <cell r="AP60">
            <v>217.30190203868</v>
          </cell>
        </row>
        <row r="61">
          <cell r="H61">
            <v>99.561999999999998</v>
          </cell>
          <cell r="K61">
            <v>5.0459652692974997</v>
          </cell>
          <cell r="AG61" t="str">
            <v>US302491AT29</v>
          </cell>
          <cell r="AP61">
            <v>101.38411615989</v>
          </cell>
        </row>
        <row r="62">
          <cell r="H62">
            <v>92.4816</v>
          </cell>
          <cell r="K62">
            <v>6.1691679685506999</v>
          </cell>
          <cell r="AG62" t="str">
            <v>US302491AU91</v>
          </cell>
          <cell r="AP62">
            <v>201.85328135754</v>
          </cell>
        </row>
        <row r="63">
          <cell r="H63">
            <v>89.665000000000006</v>
          </cell>
          <cell r="K63">
            <v>5.6693575747171998</v>
          </cell>
          <cell r="AG63" t="str">
            <v>USP3984LAA81</v>
          </cell>
          <cell r="AP63">
            <v>139.69353136211001</v>
          </cell>
        </row>
        <row r="64">
          <cell r="H64">
            <v>97.6</v>
          </cell>
          <cell r="K64">
            <v>5.8138386217568003</v>
          </cell>
          <cell r="AG64" t="str">
            <v>USP82290AR17</v>
          </cell>
          <cell r="AP64">
            <v>174.43230620431001</v>
          </cell>
        </row>
        <row r="65">
          <cell r="H65">
            <v>98.224999999999994</v>
          </cell>
          <cell r="K65">
            <v>5.1978025665273</v>
          </cell>
          <cell r="AG65" t="str">
            <v>US343412AF90</v>
          </cell>
          <cell r="AP65">
            <v>109.54403223188</v>
          </cell>
        </row>
        <row r="66">
          <cell r="H66">
            <v>99.853499999999997</v>
          </cell>
          <cell r="K66">
            <v>4.4597400616087999</v>
          </cell>
          <cell r="AG66" t="str">
            <v>US34540TNR94</v>
          </cell>
          <cell r="AP66">
            <v>42.171916583030999</v>
          </cell>
        </row>
        <row r="67">
          <cell r="H67">
            <v>100.54</v>
          </cell>
          <cell r="K67">
            <v>5.2217860674756</v>
          </cell>
          <cell r="AG67" t="str">
            <v>US345397E748</v>
          </cell>
          <cell r="AP67">
            <v>116.70117695684</v>
          </cell>
        </row>
        <row r="68">
          <cell r="H68">
            <v>102.745</v>
          </cell>
          <cell r="K68">
            <v>5.5755940454813002</v>
          </cell>
          <cell r="AG68" t="str">
            <v>US345397D591</v>
          </cell>
          <cell r="AP68">
            <v>146.90426497843001</v>
          </cell>
        </row>
        <row r="69">
          <cell r="H69">
            <v>99.831549999999993</v>
          </cell>
          <cell r="K69">
            <v>4.8482022825154996</v>
          </cell>
          <cell r="AG69" t="str">
            <v>US345370CR99</v>
          </cell>
          <cell r="AP69">
            <v>80.523533755355004</v>
          </cell>
        </row>
        <row r="70">
          <cell r="H70">
            <v>100.15</v>
          </cell>
          <cell r="K70">
            <v>4.9840141275835004</v>
          </cell>
          <cell r="AG70" t="str">
            <v>US37045VAS97</v>
          </cell>
          <cell r="AP70">
            <v>88.034330463553005</v>
          </cell>
        </row>
        <row r="71">
          <cell r="H71">
            <v>101.13500000000001</v>
          </cell>
          <cell r="K71">
            <v>5.0747627537484998</v>
          </cell>
          <cell r="AG71" t="str">
            <v>US37045VAY65</v>
          </cell>
          <cell r="AP71">
            <v>92.635129430480006</v>
          </cell>
        </row>
        <row r="72">
          <cell r="H72">
            <v>102.09399999999999</v>
          </cell>
          <cell r="K72">
            <v>5.0174369973611004</v>
          </cell>
          <cell r="AG72" t="str">
            <v>US37045VAU44</v>
          </cell>
          <cell r="AP72">
            <v>95.152618110533993</v>
          </cell>
        </row>
        <row r="73">
          <cell r="H73">
            <v>100.55</v>
          </cell>
          <cell r="K73">
            <v>8.7479156676685008</v>
          </cell>
          <cell r="AG73" t="str">
            <v>USG38327AD78</v>
          </cell>
          <cell r="AP73">
            <v>459.86510364928</v>
          </cell>
        </row>
        <row r="74">
          <cell r="H74">
            <v>97.279560000000004</v>
          </cell>
          <cell r="K74">
            <v>5.5038780249519998</v>
          </cell>
          <cell r="AG74" t="str">
            <v>USC39296AA34</v>
          </cell>
          <cell r="AP74">
            <v>130.75487422077001</v>
          </cell>
        </row>
        <row r="75">
          <cell r="H75">
            <v>96.317999999999998</v>
          </cell>
          <cell r="K75">
            <v>6.0105975518405002</v>
          </cell>
          <cell r="AG75" t="str">
            <v>USC39296AB17</v>
          </cell>
          <cell r="AP75">
            <v>156.68037460471001</v>
          </cell>
        </row>
        <row r="76">
          <cell r="H76">
            <v>25</v>
          </cell>
          <cell r="K76">
            <v>84.183071575878003</v>
          </cell>
          <cell r="AG76" t="str">
            <v>USU3826GAA59</v>
          </cell>
          <cell r="AP76">
            <v>8050.2033254544003</v>
          </cell>
        </row>
        <row r="77">
          <cell r="H77">
            <v>96.577600000000004</v>
          </cell>
          <cell r="K77">
            <v>5.4958884088957003</v>
          </cell>
          <cell r="AG77" t="str">
            <v>US436106AC21</v>
          </cell>
          <cell r="AP77">
            <v>129.97234669082999</v>
          </cell>
        </row>
        <row r="78">
          <cell r="H78">
            <v>99.830290000000005</v>
          </cell>
          <cell r="K78">
            <v>5.6084038561996996</v>
          </cell>
          <cell r="AG78" t="str">
            <v>US403949AT72</v>
          </cell>
          <cell r="AP78">
            <v>132.64776343579999</v>
          </cell>
        </row>
        <row r="79">
          <cell r="H79">
            <v>101.6</v>
          </cell>
          <cell r="K79">
            <v>5.4144095584879999</v>
          </cell>
          <cell r="AG79" t="str">
            <v>US403949AR17</v>
          </cell>
          <cell r="AP79">
            <v>120.57510221228</v>
          </cell>
        </row>
        <row r="80">
          <cell r="H80">
            <v>105.2</v>
          </cell>
          <cell r="K80">
            <v>7.9082390117874999</v>
          </cell>
          <cell r="AG80" t="str">
            <v>USU24437AG73</v>
          </cell>
          <cell r="AP80">
            <v>439.38707483620999</v>
          </cell>
        </row>
        <row r="81">
          <cell r="H81">
            <v>105.29</v>
          </cell>
          <cell r="K81">
            <v>4.0278123846948004</v>
          </cell>
          <cell r="AG81" t="str">
            <v>USU2465RAC52</v>
          </cell>
          <cell r="AP81">
            <v>50.175595498462002</v>
          </cell>
        </row>
        <row r="82">
          <cell r="H82">
            <v>97.075000000000003</v>
          </cell>
          <cell r="K82">
            <v>6.2231615285378004</v>
          </cell>
          <cell r="AG82" t="str">
            <v>USU4329KAA61</v>
          </cell>
          <cell r="AP82">
            <v>209.00369911743999</v>
          </cell>
        </row>
        <row r="83">
          <cell r="H83">
            <v>98.799000000000007</v>
          </cell>
          <cell r="K83">
            <v>5.0774296035136004</v>
          </cell>
          <cell r="AG83" t="str">
            <v>US46647PDF09</v>
          </cell>
          <cell r="AP83">
            <v>94.157650321592996</v>
          </cell>
        </row>
        <row r="84">
          <cell r="H84">
            <v>99.89</v>
          </cell>
          <cell r="K84">
            <v>6.0411365730522997</v>
          </cell>
          <cell r="AG84" t="str">
            <v>USG5002FAU06</v>
          </cell>
          <cell r="AP84">
            <v>196.43375516239001</v>
          </cell>
        </row>
        <row r="85">
          <cell r="H85">
            <v>99.814999999999998</v>
          </cell>
          <cell r="K85">
            <v>6.0173203968370004</v>
          </cell>
          <cell r="AG85" t="str">
            <v>USU5562LAH25</v>
          </cell>
          <cell r="AP85">
            <v>185.23414711397001</v>
          </cell>
        </row>
        <row r="86">
          <cell r="H86">
            <v>96.5</v>
          </cell>
          <cell r="K86">
            <v>7.8425335089162003</v>
          </cell>
          <cell r="AG86" t="str">
            <v>US577778BQ55</v>
          </cell>
          <cell r="AP86">
            <v>359.51228942138999</v>
          </cell>
        </row>
        <row r="87">
          <cell r="H87">
            <v>106.94</v>
          </cell>
          <cell r="K87">
            <v>4.0562374651226003</v>
          </cell>
          <cell r="AG87" t="str">
            <v>US55616XAC11</v>
          </cell>
          <cell r="AP87">
            <v>43.068471953282</v>
          </cell>
        </row>
        <row r="88">
          <cell r="H88">
            <v>99.744950000000003</v>
          </cell>
          <cell r="K88">
            <v>4.8199978006009001</v>
          </cell>
          <cell r="AG88" t="str">
            <v>US571903BB87</v>
          </cell>
          <cell r="AP88">
            <v>70.819989140312998</v>
          </cell>
        </row>
        <row r="89">
          <cell r="H89">
            <v>98.802350000000004</v>
          </cell>
          <cell r="K89">
            <v>5.1835576186768</v>
          </cell>
          <cell r="AG89" t="str">
            <v>USU5759TAC90</v>
          </cell>
          <cell r="AP89">
            <v>108.51881434559</v>
          </cell>
        </row>
        <row r="90">
          <cell r="H90">
            <v>99.984999999999999</v>
          </cell>
          <cell r="K90">
            <v>3.4396145413841999</v>
          </cell>
          <cell r="AG90" t="str">
            <v>USU57619AF25</v>
          </cell>
          <cell r="AP90">
            <v>-31.650054489952002</v>
          </cell>
        </row>
        <row r="91">
          <cell r="H91">
            <v>96.47</v>
          </cell>
          <cell r="K91">
            <v>5.2374920160164997</v>
          </cell>
          <cell r="AG91" t="str">
            <v>USU57619AG08</v>
          </cell>
          <cell r="AP91">
            <v>111.06905121094999</v>
          </cell>
        </row>
        <row r="92">
          <cell r="H92">
            <v>98.704999999999998</v>
          </cell>
          <cell r="K92">
            <v>5.4091299597324998</v>
          </cell>
          <cell r="AG92" t="str">
            <v>US577081BG67</v>
          </cell>
          <cell r="AP92">
            <v>120.72910483749</v>
          </cell>
        </row>
        <row r="93">
          <cell r="H93">
            <v>100.015</v>
          </cell>
          <cell r="K93">
            <v>5.9442155867092001</v>
          </cell>
          <cell r="AG93" t="str">
            <v>USU57619AE59</v>
          </cell>
          <cell r="AP93">
            <v>187.06034786800001</v>
          </cell>
        </row>
        <row r="94">
          <cell r="H94">
            <v>101.22</v>
          </cell>
          <cell r="K94">
            <v>6.0798164504439001</v>
          </cell>
          <cell r="AG94" t="str">
            <v>USU59224AA07</v>
          </cell>
          <cell r="AP94">
            <v>182.48566773145001</v>
          </cell>
        </row>
        <row r="95">
          <cell r="H95">
            <v>99.995000000000005</v>
          </cell>
          <cell r="K95">
            <v>5.1881330347562997</v>
          </cell>
          <cell r="AG95" t="str">
            <v>US59151KAM09</v>
          </cell>
          <cell r="AP95">
            <v>112.04561605851001</v>
          </cell>
        </row>
        <row r="96">
          <cell r="H96">
            <v>99.334999999999994</v>
          </cell>
          <cell r="K96">
            <v>5.5401109236627999</v>
          </cell>
          <cell r="AG96" t="str">
            <v>US59151KAL26</v>
          </cell>
          <cell r="AP96">
            <v>138.23995836749</v>
          </cell>
        </row>
        <row r="97">
          <cell r="H97">
            <v>101.80500000000001</v>
          </cell>
          <cell r="K97">
            <v>4.9050583828213004</v>
          </cell>
          <cell r="AG97" t="str">
            <v>US595112CD31</v>
          </cell>
          <cell r="AP97">
            <v>69.431880707664007</v>
          </cell>
        </row>
        <row r="98">
          <cell r="H98">
            <v>101.45</v>
          </cell>
          <cell r="K98">
            <v>5.4450174366809998</v>
          </cell>
          <cell r="AG98" t="str">
            <v>US595112CG61</v>
          </cell>
          <cell r="AP98">
            <v>115.28441250944</v>
          </cell>
        </row>
        <row r="99">
          <cell r="H99">
            <v>102.02</v>
          </cell>
          <cell r="K99">
            <v>6.6785122790592002</v>
          </cell>
          <cell r="AG99" t="str">
            <v>USQ60976AB51</v>
          </cell>
          <cell r="AP99">
            <v>295.58820491820001</v>
          </cell>
        </row>
        <row r="100">
          <cell r="H100">
            <v>92.135000000000005</v>
          </cell>
          <cell r="K100">
            <v>6.0583846882100998</v>
          </cell>
          <cell r="AG100" t="str">
            <v>USU60868AD52</v>
          </cell>
          <cell r="AP100">
            <v>185.24321054836</v>
          </cell>
        </row>
        <row r="101">
          <cell r="H101">
            <v>98.375</v>
          </cell>
          <cell r="K101">
            <v>5.3547576737993001</v>
          </cell>
          <cell r="AG101" t="str">
            <v>USU60868AC79</v>
          </cell>
          <cell r="AP101">
            <v>126.1745027602</v>
          </cell>
        </row>
        <row r="102">
          <cell r="H102">
            <v>99.224999999999994</v>
          </cell>
          <cell r="K102">
            <v>5.2988830558807001</v>
          </cell>
          <cell r="AG102" t="str">
            <v>US655664AS97</v>
          </cell>
          <cell r="AP102">
            <v>124.9059765233</v>
          </cell>
        </row>
        <row r="103">
          <cell r="H103">
            <v>95.935000000000002</v>
          </cell>
          <cell r="K103">
            <v>5.6866903609593002</v>
          </cell>
          <cell r="AG103" t="str">
            <v>US655664AT70</v>
          </cell>
          <cell r="AP103">
            <v>151.45019039428001</v>
          </cell>
        </row>
        <row r="104">
          <cell r="H104">
            <v>102.605</v>
          </cell>
          <cell r="K104">
            <v>5.3389997638258997</v>
          </cell>
          <cell r="AG104" t="str">
            <v>US655664AH33</v>
          </cell>
          <cell r="AP104">
            <v>125.77745101456</v>
          </cell>
        </row>
        <row r="105">
          <cell r="H105">
            <v>99.9</v>
          </cell>
          <cell r="K105">
            <v>4.8816517612187997</v>
          </cell>
          <cell r="AG105" t="str">
            <v>US674599CR48</v>
          </cell>
          <cell r="AP105">
            <v>84.561095018073999</v>
          </cell>
        </row>
        <row r="106">
          <cell r="H106">
            <v>100.65949999999999</v>
          </cell>
          <cell r="K106">
            <v>5.3017698521792003</v>
          </cell>
          <cell r="AG106" t="str">
            <v>US674599EK76</v>
          </cell>
          <cell r="AP106">
            <v>104.48845243629</v>
          </cell>
        </row>
        <row r="107">
          <cell r="H107">
            <v>100.35850000000001</v>
          </cell>
          <cell r="K107">
            <v>5.5691708429039997</v>
          </cell>
          <cell r="AG107" t="str">
            <v>US674599EL59</v>
          </cell>
          <cell r="AP107">
            <v>118.94907886561001</v>
          </cell>
        </row>
        <row r="108">
          <cell r="H108">
            <v>112</v>
          </cell>
          <cell r="K108">
            <v>5.2534529008212996</v>
          </cell>
          <cell r="AG108" t="str">
            <v>US674599DE26</v>
          </cell>
          <cell r="AP108">
            <v>102.84299880966999</v>
          </cell>
        </row>
        <row r="109">
          <cell r="H109">
            <v>97.375</v>
          </cell>
          <cell r="K109">
            <v>5.9198386169269996</v>
          </cell>
          <cell r="AG109" t="str">
            <v>US680665AK27</v>
          </cell>
          <cell r="AP109">
            <v>175.90783354633001</v>
          </cell>
        </row>
        <row r="110">
          <cell r="H110">
            <v>99.34</v>
          </cell>
          <cell r="K110">
            <v>5.9529012337668004</v>
          </cell>
          <cell r="AG110" t="str">
            <v>US680665AL00</v>
          </cell>
          <cell r="AP110">
            <v>181.60886812977</v>
          </cell>
        </row>
        <row r="111">
          <cell r="H111">
            <v>37.35</v>
          </cell>
          <cell r="K111">
            <v>314.93117975012001</v>
          </cell>
          <cell r="AG111" t="str">
            <v>XS0294364954</v>
          </cell>
          <cell r="AP111">
            <v>31087.964580642001</v>
          </cell>
        </row>
        <row r="112">
          <cell r="H112">
            <v>101.40499835097</v>
          </cell>
          <cell r="K112">
            <v>3.7727843657881999</v>
          </cell>
          <cell r="AG112" t="str">
            <v>AR0770773957</v>
          </cell>
          <cell r="AP112">
            <v>-29.327093627549999</v>
          </cell>
        </row>
        <row r="113">
          <cell r="H113">
            <v>103.55924658000001</v>
          </cell>
          <cell r="K113">
            <v>4.6586168833709998</v>
          </cell>
          <cell r="AG113" t="str">
            <v>AR0098578880</v>
          </cell>
          <cell r="AP113">
            <v>55.042560673349001</v>
          </cell>
        </row>
        <row r="114">
          <cell r="H114">
            <v>106.84006848999999</v>
          </cell>
          <cell r="K114">
            <v>-1.5483801056004999E-3</v>
          </cell>
          <cell r="AG114" t="str">
            <v>AR0554009248</v>
          </cell>
          <cell r="AP114">
            <v>-406.29032526010002</v>
          </cell>
        </row>
        <row r="115">
          <cell r="H115">
            <v>105.40396207006999</v>
          </cell>
          <cell r="K115">
            <v>5.2005922944118002</v>
          </cell>
          <cell r="AG115" t="str">
            <v>AR0623274765</v>
          </cell>
          <cell r="AP115">
            <v>105.79305430166001</v>
          </cell>
        </row>
        <row r="116">
          <cell r="H116">
            <v>98.744500000000002</v>
          </cell>
          <cell r="K116">
            <v>5.5695677340319003</v>
          </cell>
          <cell r="AG116" t="str">
            <v>US71647NBE85</v>
          </cell>
          <cell r="AP116">
            <v>140.68770102907999</v>
          </cell>
        </row>
        <row r="117">
          <cell r="H117">
            <v>100.045</v>
          </cell>
          <cell r="K117">
            <v>5.6655276789892</v>
          </cell>
          <cell r="AG117" t="str">
            <v>US71647NBH17</v>
          </cell>
          <cell r="AP117">
            <v>145.84825050487001</v>
          </cell>
        </row>
        <row r="118">
          <cell r="H118">
            <v>102.67163003648</v>
          </cell>
          <cell r="K118">
            <v>4.2051064737701997</v>
          </cell>
          <cell r="AG118" t="str">
            <v>AR0502588418</v>
          </cell>
          <cell r="AP118">
            <v>12.76848700861</v>
          </cell>
        </row>
        <row r="119">
          <cell r="H119">
            <v>104.09383561999999</v>
          </cell>
          <cell r="K119">
            <v>4.8755731002726996</v>
          </cell>
          <cell r="AG119" t="str">
            <v>AR0808016403</v>
          </cell>
          <cell r="AP119">
            <v>79.056684616178003</v>
          </cell>
        </row>
        <row r="120">
          <cell r="H120">
            <v>104.9675</v>
          </cell>
          <cell r="K120">
            <v>7.5726415692896998</v>
          </cell>
          <cell r="AG120" t="str">
            <v>USP7924AAA62</v>
          </cell>
          <cell r="AP120">
            <v>332.01288130240999</v>
          </cell>
        </row>
        <row r="121">
          <cell r="H121">
            <v>99.767499999999998</v>
          </cell>
          <cell r="K121">
            <v>4.4523413550650002</v>
          </cell>
          <cell r="AG121" t="str">
            <v>US80282KAZ93</v>
          </cell>
          <cell r="AP121">
            <v>41.342591089473999</v>
          </cell>
        </row>
        <row r="122">
          <cell r="H122">
            <v>99.9375</v>
          </cell>
          <cell r="K122">
            <v>5.1261015299891</v>
          </cell>
          <cell r="AG122" t="str">
            <v>USU82764AM01</v>
          </cell>
          <cell r="AP122">
            <v>106.54769890657001</v>
          </cell>
        </row>
        <row r="123">
          <cell r="H123">
            <v>99.54</v>
          </cell>
          <cell r="K123">
            <v>4.6577610116169996</v>
          </cell>
          <cell r="AG123" t="str">
            <v>USU82764AU27</v>
          </cell>
          <cell r="AP123">
            <v>89.364821152114999</v>
          </cell>
        </row>
        <row r="124">
          <cell r="H124">
            <v>97.27</v>
          </cell>
          <cell r="K124">
            <v>5.5494499521960998</v>
          </cell>
          <cell r="AG124" t="str">
            <v>USU82764AT53</v>
          </cell>
          <cell r="AP124">
            <v>145.25790904621999</v>
          </cell>
        </row>
        <row r="125">
          <cell r="H125">
            <v>94.394999999999996</v>
          </cell>
          <cell r="K125">
            <v>7.2868473416138002</v>
          </cell>
          <cell r="AG125" t="str">
            <v>USP8T88JAA61</v>
          </cell>
          <cell r="AP125">
            <v>319.35177351455002</v>
          </cell>
        </row>
        <row r="126">
          <cell r="H126">
            <v>89.334999999999994</v>
          </cell>
          <cell r="K126">
            <v>5.3264553980798004</v>
          </cell>
          <cell r="AG126" t="str">
            <v>US876030AA54</v>
          </cell>
          <cell r="AP126">
            <v>104.58634938233</v>
          </cell>
        </row>
        <row r="127">
          <cell r="H127">
            <v>99.476650000000006</v>
          </cell>
          <cell r="K127">
            <v>4.7326289506507004</v>
          </cell>
          <cell r="AG127" t="str">
            <v>US189754AC88</v>
          </cell>
          <cell r="AP127">
            <v>67.260736242627999</v>
          </cell>
        </row>
        <row r="128">
          <cell r="H128">
            <v>99.87</v>
          </cell>
          <cell r="K128">
            <v>5.2037364813230003</v>
          </cell>
          <cell r="AG128" t="str">
            <v>US876030AK37</v>
          </cell>
          <cell r="AP128">
            <v>103.67747756588</v>
          </cell>
        </row>
        <row r="129">
          <cell r="H129">
            <v>98.7</v>
          </cell>
          <cell r="K129">
            <v>5.7725722026141</v>
          </cell>
          <cell r="AG129" t="str">
            <v>US876030AL10</v>
          </cell>
          <cell r="AP129">
            <v>137.50043898965001</v>
          </cell>
        </row>
        <row r="130">
          <cell r="H130">
            <v>102.06712329</v>
          </cell>
          <cell r="K130">
            <v>3.3277119984754</v>
          </cell>
          <cell r="AG130" t="str">
            <v>AR0166027471</v>
          </cell>
          <cell r="AP130">
            <v>-74.098228104897004</v>
          </cell>
        </row>
        <row r="131">
          <cell r="H131">
            <v>104.32328767</v>
          </cell>
          <cell r="K131">
            <v>5.4038473028715002</v>
          </cell>
          <cell r="AG131" t="str">
            <v>AR0482976963</v>
          </cell>
          <cell r="AP131">
            <v>125.68837867076</v>
          </cell>
        </row>
        <row r="132">
          <cell r="H132">
            <v>103.9</v>
          </cell>
          <cell r="K132">
            <v>6.8760196346331002</v>
          </cell>
          <cell r="AG132" t="str">
            <v>USP90187AR99</v>
          </cell>
          <cell r="AP132">
            <v>263.05651325325999</v>
          </cell>
        </row>
        <row r="133">
          <cell r="H133">
            <v>99.75</v>
          </cell>
          <cell r="K133">
            <v>4.8148080816137</v>
          </cell>
          <cell r="AG133" t="str">
            <v>US87901JAJ43</v>
          </cell>
          <cell r="AP133">
            <v>112.11380291259999</v>
          </cell>
        </row>
        <row r="134">
          <cell r="H134">
            <v>99.962500000000006</v>
          </cell>
          <cell r="K134">
            <v>4.8861631155782002</v>
          </cell>
          <cell r="AG134" t="str">
            <v>USU8729JAC28</v>
          </cell>
          <cell r="AP134">
            <v>108.26361325459</v>
          </cell>
        </row>
        <row r="135">
          <cell r="H135">
            <v>105.845</v>
          </cell>
          <cell r="K135">
            <v>7.2174107235134004</v>
          </cell>
          <cell r="AG135" t="str">
            <v>USP9308RBA07</v>
          </cell>
          <cell r="AP135">
            <v>300.67708168923002</v>
          </cell>
        </row>
        <row r="136">
          <cell r="H136">
            <v>95.531999999999996</v>
          </cell>
          <cell r="K136">
            <v>4.3204311882243998</v>
          </cell>
          <cell r="AG136" t="str">
            <v>US91282CAL54</v>
          </cell>
          <cell r="AP136">
            <v>25.291548261117001</v>
          </cell>
        </row>
        <row r="137">
          <cell r="H137">
            <v>96.171999999999997</v>
          </cell>
          <cell r="K137">
            <v>4.2950017077747997</v>
          </cell>
          <cell r="AG137" t="str">
            <v>US91282CAD39</v>
          </cell>
          <cell r="AP137">
            <v>23.327443611955001</v>
          </cell>
        </row>
        <row r="138">
          <cell r="H138">
            <v>97.278499999999994</v>
          </cell>
          <cell r="K138">
            <v>4.1708283830494004</v>
          </cell>
          <cell r="AG138" t="str">
            <v>US912828ZN34</v>
          </cell>
          <cell r="AP138">
            <v>11.708528741441</v>
          </cell>
        </row>
        <row r="139">
          <cell r="H139">
            <v>95.340500000000006</v>
          </cell>
          <cell r="K139">
            <v>4.3423253078339004</v>
          </cell>
          <cell r="AG139" t="str">
            <v>US91282CAU53</v>
          </cell>
          <cell r="AP139">
            <v>27.176614941072</v>
          </cell>
        </row>
        <row r="140">
          <cell r="H140">
            <v>99.944500000000005</v>
          </cell>
          <cell r="K140">
            <v>3.0608197011731999</v>
          </cell>
          <cell r="AG140" t="str">
            <v>US91282CCP41</v>
          </cell>
          <cell r="AP140">
            <v>-97.446929748656999</v>
          </cell>
        </row>
        <row r="141">
          <cell r="H141">
            <v>94.780500000000004</v>
          </cell>
          <cell r="K141">
            <v>4.3796505444385003</v>
          </cell>
          <cell r="AG141" t="str">
            <v>US91282CBJ99</v>
          </cell>
          <cell r="AP141">
            <v>29.975939736948</v>
          </cell>
        </row>
        <row r="142">
          <cell r="H142">
            <v>93.534499999999994</v>
          </cell>
          <cell r="K142">
            <v>4.4406962798284004</v>
          </cell>
          <cell r="AG142" t="str">
            <v>US91282CCY57</v>
          </cell>
          <cell r="AP142">
            <v>33.318192693989999</v>
          </cell>
        </row>
        <row r="143">
          <cell r="H143">
            <v>91.9345</v>
          </cell>
          <cell r="K143">
            <v>4.4568924684192002</v>
          </cell>
          <cell r="AG143" t="str">
            <v>US912828YS30</v>
          </cell>
          <cell r="AP143">
            <v>29.488010903976999</v>
          </cell>
        </row>
        <row r="144">
          <cell r="H144">
            <v>99.420500000000004</v>
          </cell>
          <cell r="K144">
            <v>3.9138245018361002</v>
          </cell>
          <cell r="AG144" t="str">
            <v>US912828U246</v>
          </cell>
          <cell r="AP144">
            <v>-12.764148223207</v>
          </cell>
        </row>
        <row r="145">
          <cell r="H145">
            <v>99.377499999999998</v>
          </cell>
          <cell r="K145">
            <v>4.3726187170564996</v>
          </cell>
          <cell r="AG145" t="str">
            <v>US91282CGC91</v>
          </cell>
          <cell r="AP145">
            <v>29.670021055751999</v>
          </cell>
        </row>
        <row r="146">
          <cell r="H146">
            <v>97.739000000000004</v>
          </cell>
          <cell r="K146">
            <v>4.5930821551605003</v>
          </cell>
          <cell r="AG146" t="str">
            <v>US91282CFV81</v>
          </cell>
          <cell r="AP146">
            <v>28.394678126346001</v>
          </cell>
        </row>
        <row r="147">
          <cell r="H147">
            <v>100.27500000000001</v>
          </cell>
          <cell r="K147">
            <v>4.1518552074799997</v>
          </cell>
          <cell r="AG147" t="str">
            <v>US91282CKJ98</v>
          </cell>
          <cell r="AP147">
            <v>9.9627229493212006</v>
          </cell>
        </row>
        <row r="148">
          <cell r="H148">
            <v>95.647949999999994</v>
          </cell>
          <cell r="K148">
            <v>4.2746687859305998</v>
          </cell>
          <cell r="AG148" t="str">
            <v>US912803BL66</v>
          </cell>
          <cell r="AP148">
            <v>21.145156672112002</v>
          </cell>
        </row>
        <row r="149">
          <cell r="H149">
            <v>87.520949999999999</v>
          </cell>
          <cell r="K149">
            <v>4.4561149730535003</v>
          </cell>
          <cell r="AG149" t="str">
            <v>US912803CG62</v>
          </cell>
          <cell r="AP149">
            <v>30.271816817544</v>
          </cell>
        </row>
        <row r="150">
          <cell r="H150">
            <v>87.582849999999993</v>
          </cell>
          <cell r="K150">
            <v>4.4319626034484001</v>
          </cell>
          <cell r="AG150" t="str">
            <v>US912821CR42</v>
          </cell>
          <cell r="AP150">
            <v>27.856579857042</v>
          </cell>
        </row>
        <row r="151">
          <cell r="H151">
            <v>65.109849999999994</v>
          </cell>
          <cell r="K151" t="str">
            <v/>
          </cell>
          <cell r="AG151" t="str">
            <v>US9128335A44</v>
          </cell>
          <cell r="AP151" t="str">
            <v/>
          </cell>
        </row>
        <row r="152">
          <cell r="H152">
            <v>35.597050000000003</v>
          </cell>
          <cell r="K152">
            <v>5.5794200968601997</v>
          </cell>
          <cell r="AG152" t="str">
            <v>US912834PM47</v>
          </cell>
          <cell r="AP152">
            <v>46.684802720238999</v>
          </cell>
        </row>
        <row r="153">
          <cell r="H153">
            <v>97.774100000000004</v>
          </cell>
          <cell r="K153">
            <v>4.0490644002825</v>
          </cell>
          <cell r="AG153" t="str">
            <v>US912803BK83</v>
          </cell>
          <cell r="AP153">
            <v>0.11176213578805</v>
          </cell>
        </row>
        <row r="154">
          <cell r="H154">
            <v>85.558949999999996</v>
          </cell>
          <cell r="K154">
            <v>4.4782707797818997</v>
          </cell>
          <cell r="AG154" t="str">
            <v>US912821DV45</v>
          </cell>
          <cell r="AP154">
            <v>29.649496642170998</v>
          </cell>
        </row>
        <row r="155">
          <cell r="H155">
            <v>28.710899999999999</v>
          </cell>
          <cell r="K155">
            <v>5.4491502075203</v>
          </cell>
          <cell r="AG155" t="str">
            <v>US912803FM04</v>
          </cell>
          <cell r="AP155">
            <v>21.965821396532998</v>
          </cell>
        </row>
        <row r="156">
          <cell r="H156">
            <v>25.98865</v>
          </cell>
          <cell r="K156">
            <v>5.4234852564409</v>
          </cell>
          <cell r="AG156" t="str">
            <v>US912803GE78</v>
          </cell>
          <cell r="AP156">
            <v>16.955639475342</v>
          </cell>
        </row>
        <row r="157">
          <cell r="H157">
            <v>23.150849999999998</v>
          </cell>
          <cell r="K157">
            <v>5.4623580009020003</v>
          </cell>
          <cell r="AG157" t="str">
            <v>US912834K567</v>
          </cell>
          <cell r="AP157">
            <v>19.950063914238999</v>
          </cell>
        </row>
        <row r="158">
          <cell r="H158">
            <v>22.81495</v>
          </cell>
          <cell r="K158">
            <v>5.3203124155137997</v>
          </cell>
          <cell r="AG158" t="str">
            <v>US912803HH90</v>
          </cell>
          <cell r="AP158">
            <v>5.8441193336003003</v>
          </cell>
        </row>
        <row r="159">
          <cell r="H159">
            <v>92.447999999999993</v>
          </cell>
          <cell r="K159">
            <v>4.4369646724892</v>
          </cell>
          <cell r="AG159" t="str">
            <v>US9128205B99</v>
          </cell>
          <cell r="AP159">
            <v>34.489050271147001</v>
          </cell>
        </row>
        <row r="160">
          <cell r="H160">
            <v>84.616</v>
          </cell>
          <cell r="K160">
            <v>4.4900631138992004</v>
          </cell>
          <cell r="AG160" t="str">
            <v>US912803CH46</v>
          </cell>
          <cell r="AP160">
            <v>29.393632382789999</v>
          </cell>
        </row>
        <row r="161">
          <cell r="H161">
            <v>84.559049999999999</v>
          </cell>
          <cell r="K161">
            <v>4.5085618777847003</v>
          </cell>
          <cell r="AG161" t="str">
            <v>US912821EK70</v>
          </cell>
          <cell r="AP161">
            <v>31.243508771335001</v>
          </cell>
        </row>
        <row r="162">
          <cell r="H162">
            <v>73.062200000000004</v>
          </cell>
          <cell r="K162">
            <v>4.7253040479386001</v>
          </cell>
          <cell r="AG162" t="str">
            <v>US9128337T17</v>
          </cell>
          <cell r="AP162">
            <v>33.047484851028003</v>
          </cell>
        </row>
        <row r="163">
          <cell r="H163">
            <v>37.004199999999997</v>
          </cell>
          <cell r="K163">
            <v>5.4382347768113997</v>
          </cell>
          <cell r="AG163" t="str">
            <v>US912803EN95</v>
          </cell>
          <cell r="AP163">
            <v>33.483591579204997</v>
          </cell>
        </row>
        <row r="164">
          <cell r="H164">
            <v>90.397000000000006</v>
          </cell>
          <cell r="K164">
            <v>4.4645238708916999</v>
          </cell>
          <cell r="AG164" t="str">
            <v>US912833WR77</v>
          </cell>
          <cell r="AP164">
            <v>34.951592636748003</v>
          </cell>
        </row>
        <row r="165">
          <cell r="H165">
            <v>74.8643</v>
          </cell>
          <cell r="K165" t="str">
            <v/>
          </cell>
          <cell r="AG165" t="str">
            <v>US9128337S34</v>
          </cell>
          <cell r="AP165" t="str">
            <v/>
          </cell>
        </row>
        <row r="166">
          <cell r="H166">
            <v>35.112050000000004</v>
          </cell>
          <cell r="K166">
            <v>5.5798084434895001</v>
          </cell>
          <cell r="AG166" t="str">
            <v>US912834PT99</v>
          </cell>
          <cell r="AP166">
            <v>45.834539935664999</v>
          </cell>
        </row>
        <row r="167">
          <cell r="H167">
            <v>97.983500000000006</v>
          </cell>
          <cell r="K167" t="str">
            <v/>
          </cell>
          <cell r="AG167" t="str">
            <v>US91282CEJ62</v>
          </cell>
          <cell r="AP167" t="str">
            <v/>
          </cell>
        </row>
        <row r="168">
          <cell r="H168">
            <v>93.358000000000004</v>
          </cell>
          <cell r="K168" t="str">
            <v/>
          </cell>
          <cell r="AG168" t="str">
            <v>US912828Z377</v>
          </cell>
          <cell r="AP168" t="str">
            <v/>
          </cell>
        </row>
        <row r="169">
          <cell r="H169">
            <v>53.6845</v>
          </cell>
          <cell r="K169" t="str">
            <v/>
          </cell>
          <cell r="AG169" t="str">
            <v>US912810SM18</v>
          </cell>
          <cell r="AP169" t="str">
            <v/>
          </cell>
        </row>
        <row r="170">
          <cell r="H170">
            <v>94.927999999999997</v>
          </cell>
          <cell r="K170" t="str">
            <v/>
          </cell>
          <cell r="AG170" t="str">
            <v>US9128287D64</v>
          </cell>
          <cell r="AP170" t="str">
            <v/>
          </cell>
        </row>
        <row r="171">
          <cell r="H171">
            <v>97.245999999999995</v>
          </cell>
          <cell r="K171" t="str">
            <v/>
          </cell>
          <cell r="AG171" t="str">
            <v>US9128283R96</v>
          </cell>
          <cell r="AP171" t="str">
            <v/>
          </cell>
        </row>
        <row r="172">
          <cell r="H172">
            <v>70.384500000000003</v>
          </cell>
          <cell r="K172" t="str">
            <v/>
          </cell>
          <cell r="AG172" t="str">
            <v>US912810RA88</v>
          </cell>
          <cell r="AP172" t="str">
            <v/>
          </cell>
        </row>
        <row r="173">
          <cell r="H173">
            <v>68.63</v>
          </cell>
          <cell r="K173" t="str">
            <v/>
          </cell>
          <cell r="AG173" t="str">
            <v>US912810RL44</v>
          </cell>
          <cell r="AP173" t="str">
            <v/>
          </cell>
        </row>
        <row r="174">
          <cell r="H174">
            <v>68.262500000000003</v>
          </cell>
          <cell r="K174" t="str">
            <v/>
          </cell>
          <cell r="AG174" t="str">
            <v>US912810RL44</v>
          </cell>
          <cell r="AP174" t="str">
            <v/>
          </cell>
        </row>
        <row r="175">
          <cell r="H175">
            <v>96.831999999999994</v>
          </cell>
          <cell r="K175" t="str">
            <v/>
          </cell>
          <cell r="AG175" t="str">
            <v>US9128285W63</v>
          </cell>
          <cell r="AP175" t="str">
            <v/>
          </cell>
        </row>
        <row r="176">
          <cell r="H176">
            <v>93.519499999999994</v>
          </cell>
          <cell r="K176" t="str">
            <v/>
          </cell>
          <cell r="AG176" t="str">
            <v>US91282CGK18</v>
          </cell>
          <cell r="AP176" t="str">
            <v/>
          </cell>
        </row>
        <row r="177">
          <cell r="H177">
            <v>99.015000000000001</v>
          </cell>
          <cell r="K177" t="str">
            <v/>
          </cell>
          <cell r="AG177" t="str">
            <v>US912810PV44</v>
          </cell>
          <cell r="AP177" t="str">
            <v/>
          </cell>
        </row>
        <row r="178">
          <cell r="H178">
            <v>96.412999999999997</v>
          </cell>
          <cell r="K178" t="str">
            <v/>
          </cell>
          <cell r="AG178" t="str">
            <v>US91282CJY84</v>
          </cell>
          <cell r="AP178" t="str">
            <v/>
          </cell>
        </row>
        <row r="179">
          <cell r="H179">
            <v>98.272499999999994</v>
          </cell>
          <cell r="K179" t="str">
            <v/>
          </cell>
          <cell r="AG179" t="str">
            <v>US91282CML27</v>
          </cell>
          <cell r="AP179" t="str">
            <v/>
          </cell>
        </row>
        <row r="180">
          <cell r="H180">
            <v>99.581999999999994</v>
          </cell>
          <cell r="K180" t="str">
            <v/>
          </cell>
          <cell r="AG180" t="str">
            <v>US912810PS15</v>
          </cell>
          <cell r="AP180" t="str">
            <v/>
          </cell>
        </row>
        <row r="181">
          <cell r="H181">
            <v>100.03</v>
          </cell>
          <cell r="K181">
            <v>7.6205214560192003</v>
          </cell>
          <cell r="AG181" t="str">
            <v>USU9029YAC40</v>
          </cell>
          <cell r="AP181">
            <v>405.69379915120999</v>
          </cell>
        </row>
        <row r="182">
          <cell r="H182">
            <v>93.998500000000007</v>
          </cell>
          <cell r="K182">
            <v>4.2716925537936001</v>
          </cell>
          <cell r="AG182" t="str">
            <v>GB00BMBL1G81</v>
          </cell>
          <cell r="AP182" t="str">
            <v/>
          </cell>
        </row>
        <row r="183">
          <cell r="H183">
            <v>99.734999999999999</v>
          </cell>
          <cell r="K183">
            <v>4.2427965033564004</v>
          </cell>
          <cell r="AG183" t="str">
            <v>GB00BPSNB460</v>
          </cell>
          <cell r="AP183" t="str">
            <v/>
          </cell>
        </row>
        <row r="184">
          <cell r="H184">
            <v>95.001499999999993</v>
          </cell>
          <cell r="K184">
            <v>5.2283698275725001</v>
          </cell>
          <cell r="AG184" t="str">
            <v>US91911TAQ67</v>
          </cell>
          <cell r="AP184">
            <v>103.82670854887</v>
          </cell>
        </row>
        <row r="185">
          <cell r="H185">
            <v>97.647549999999995</v>
          </cell>
          <cell r="K185">
            <v>5.0240797819032004</v>
          </cell>
          <cell r="AG185" t="str">
            <v>US92556VAC00</v>
          </cell>
          <cell r="AP185">
            <v>96.599163452865</v>
          </cell>
        </row>
        <row r="186">
          <cell r="H186">
            <v>90.8078</v>
          </cell>
          <cell r="K186">
            <v>5.4036479562327999</v>
          </cell>
          <cell r="AG186" t="str">
            <v>US92556VAD82</v>
          </cell>
          <cell r="AP186">
            <v>121.24208205215</v>
          </cell>
        </row>
        <row r="187">
          <cell r="H187">
            <v>100.30500000000001</v>
          </cell>
          <cell r="K187" t="str">
            <v/>
          </cell>
          <cell r="AG187" t="str">
            <v>XS2837886105</v>
          </cell>
          <cell r="AP187" t="str">
            <v/>
          </cell>
        </row>
        <row r="188">
          <cell r="H188">
            <v>71.2</v>
          </cell>
          <cell r="K188">
            <v>10.358916231237</v>
          </cell>
          <cell r="AG188" t="str">
            <v>US963320AY28</v>
          </cell>
          <cell r="AP188">
            <v>612.04511247723997</v>
          </cell>
        </row>
        <row r="189">
          <cell r="H189">
            <v>74.254999999999995</v>
          </cell>
          <cell r="K189">
            <v>11.064452371603</v>
          </cell>
          <cell r="AG189" t="str">
            <v>US963320AZ92</v>
          </cell>
          <cell r="AP189">
            <v>679.54222114839001</v>
          </cell>
        </row>
        <row r="190">
          <cell r="H190">
            <v>58.77</v>
          </cell>
          <cell r="K190">
            <v>38.394083349233</v>
          </cell>
          <cell r="AG190" t="str">
            <v>USU98401AB58</v>
          </cell>
          <cell r="AP190">
            <v>3429.9292351184999</v>
          </cell>
        </row>
        <row r="191">
          <cell r="H191">
            <v>104.04349315</v>
          </cell>
          <cell r="K191">
            <v>4.6519277070285003</v>
          </cell>
          <cell r="AG191" t="str">
            <v>AR0417757066</v>
          </cell>
          <cell r="AP191">
            <v>54.764659405571003</v>
          </cell>
        </row>
        <row r="192">
          <cell r="H192">
            <v>102.17777778</v>
          </cell>
          <cell r="K192">
            <v>6.6270110071493997</v>
          </cell>
          <cell r="AG192" t="str">
            <v>USP989MJBT72</v>
          </cell>
          <cell r="AP192">
            <v>238.23238191935999</v>
          </cell>
        </row>
        <row r="193">
          <cell r="H193">
            <v>104.55999125584</v>
          </cell>
          <cell r="K193">
            <v>6.1653741240821001</v>
          </cell>
          <cell r="AG193" t="str">
            <v>USP989MJBS99</v>
          </cell>
          <cell r="AP193">
            <v>208.25993693701</v>
          </cell>
        </row>
        <row r="194">
          <cell r="H194">
            <v>90.674999999999997</v>
          </cell>
          <cell r="K194" t="str">
            <v/>
          </cell>
          <cell r="AG194" t="str">
            <v>AR0344318156</v>
          </cell>
          <cell r="AP194">
            <v>1.2806798037398E+19</v>
          </cell>
        </row>
        <row r="195">
          <cell r="H195">
            <v>100</v>
          </cell>
          <cell r="K195">
            <v>3.6994640620985999</v>
          </cell>
          <cell r="AG195" t="str">
            <v>AU3CB0262673</v>
          </cell>
          <cell r="AP195" t="str">
            <v/>
          </cell>
        </row>
        <row r="196">
          <cell r="H196">
            <v>99.745000000000005</v>
          </cell>
          <cell r="K196">
            <v>28.039776097457001</v>
          </cell>
          <cell r="AG196" t="str">
            <v>USU65478BU93</v>
          </cell>
          <cell r="AP196">
            <v>2425.7094402531998</v>
          </cell>
        </row>
        <row r="197">
          <cell r="H197">
            <v>100</v>
          </cell>
          <cell r="K197">
            <v>1.4488474949886001</v>
          </cell>
          <cell r="AG197" t="str">
            <v>NO0010757925</v>
          </cell>
          <cell r="AP197" t="str">
            <v/>
          </cell>
        </row>
        <row r="198">
          <cell r="H198">
            <v>100</v>
          </cell>
          <cell r="K198">
            <v>4.3456340281869998</v>
          </cell>
          <cell r="AG198" t="str">
            <v>AU3CB0233898</v>
          </cell>
          <cell r="AP198" t="str">
            <v/>
          </cell>
        </row>
        <row r="199">
          <cell r="H199">
            <v>100.1760274</v>
          </cell>
          <cell r="K199">
            <v>-22.477546360068001</v>
          </cell>
          <cell r="AG199" t="str">
            <v>AR0355743292</v>
          </cell>
          <cell r="AP199">
            <v>-2636.1464057889002</v>
          </cell>
        </row>
        <row r="200">
          <cell r="H200">
            <v>99.989850000000004</v>
          </cell>
          <cell r="K200">
            <v>3.7217715369743001</v>
          </cell>
          <cell r="AG200" t="str">
            <v>US912797QY62</v>
          </cell>
          <cell r="AP200">
            <v>-3.5253367420720001</v>
          </cell>
        </row>
        <row r="201">
          <cell r="H201">
            <v>99.990300000000005</v>
          </cell>
          <cell r="K201">
            <v>3.5538616457616001</v>
          </cell>
          <cell r="AG201" t="str">
            <v>US912797SB42</v>
          </cell>
          <cell r="AP201">
            <v>-10.101934871438001</v>
          </cell>
        </row>
        <row r="202">
          <cell r="H202">
            <v>99.961449999999999</v>
          </cell>
          <cell r="K202">
            <v>3.5310818310497001</v>
          </cell>
          <cell r="AG202" t="str">
            <v>US912797SF55</v>
          </cell>
          <cell r="AP202">
            <v>-12.434386100986</v>
          </cell>
        </row>
        <row r="203">
          <cell r="H203">
            <v>99.990300000000005</v>
          </cell>
          <cell r="K203">
            <v>3.5538616457616001</v>
          </cell>
          <cell r="AG203" t="str">
            <v>US912797PV33</v>
          </cell>
          <cell r="AP203">
            <v>-17.18308834374</v>
          </cell>
        </row>
        <row r="204">
          <cell r="H204">
            <v>99.989450000000005</v>
          </cell>
          <cell r="K204">
            <v>3.8712539609302001</v>
          </cell>
          <cell r="AG204" t="str">
            <v>US912797RQ20</v>
          </cell>
          <cell r="AP204">
            <v>-1.668576738311</v>
          </cell>
        </row>
        <row r="205">
          <cell r="H205">
            <v>100</v>
          </cell>
          <cell r="K205" t="str">
            <v/>
          </cell>
          <cell r="AG205" t="str">
            <v>US912797NU77</v>
          </cell>
          <cell r="AP205">
            <v>-363.48975106099999</v>
          </cell>
        </row>
        <row r="206">
          <cell r="H206">
            <v>99.990200000000002</v>
          </cell>
          <cell r="K206">
            <v>3.5911513834556001</v>
          </cell>
          <cell r="AG206" t="str">
            <v>US912797RK59</v>
          </cell>
          <cell r="AP206">
            <v>-12.284892579960999</v>
          </cell>
        </row>
        <row r="207">
          <cell r="H207">
            <v>99.990300000000005</v>
          </cell>
          <cell r="K207">
            <v>3.5538616457616001</v>
          </cell>
          <cell r="AG207" t="str">
            <v>US912797SD08</v>
          </cell>
          <cell r="AP207">
            <v>-28.416536646337001</v>
          </cell>
        </row>
        <row r="208">
          <cell r="H208">
            <v>99.989099999999993</v>
          </cell>
          <cell r="K208">
            <v>4.0022282844174004</v>
          </cell>
          <cell r="AG208" t="str">
            <v>US912797NA14</v>
          </cell>
          <cell r="AP208">
            <v>9.0652453939745996</v>
          </cell>
        </row>
        <row r="209">
          <cell r="H209">
            <v>99.990399999999994</v>
          </cell>
          <cell r="K209">
            <v>3.5165853685486002</v>
          </cell>
          <cell r="AG209" t="str">
            <v>US912797RH21</v>
          </cell>
          <cell r="AP209">
            <v>-14.096211348745999</v>
          </cell>
        </row>
        <row r="210">
          <cell r="H210">
            <v>99.990449999999996</v>
          </cell>
          <cell r="K210">
            <v>3.4979522760948001</v>
          </cell>
          <cell r="AG210" t="str">
            <v>US912797SL24</v>
          </cell>
          <cell r="AP210">
            <v>-31.602529404496</v>
          </cell>
        </row>
        <row r="211">
          <cell r="H211">
            <v>99.989599999999996</v>
          </cell>
          <cell r="K211">
            <v>3.8151727525793002</v>
          </cell>
          <cell r="AG211" t="str">
            <v>US912797RW97</v>
          </cell>
          <cell r="AP211">
            <v>-9.7748175113641995</v>
          </cell>
        </row>
        <row r="212">
          <cell r="H212">
            <v>99.927000000000007</v>
          </cell>
          <cell r="K212">
            <v>33.880347549781</v>
          </cell>
          <cell r="AG212" t="str">
            <v>US91282CAM38</v>
          </cell>
          <cell r="AP212">
            <v>2990.5371269120001</v>
          </cell>
        </row>
        <row r="213">
          <cell r="H213">
            <v>99.927000000000007</v>
          </cell>
          <cell r="K213">
            <v>31.574377142797001</v>
          </cell>
          <cell r="AG213" t="str">
            <v>US91282CBC47</v>
          </cell>
          <cell r="AP213">
            <v>2793.8935283289002</v>
          </cell>
        </row>
        <row r="214">
          <cell r="H214">
            <v>100</v>
          </cell>
          <cell r="K214">
            <v>2.0151010123733002</v>
          </cell>
          <cell r="AG214" t="str">
            <v>US91282CBQ33</v>
          </cell>
          <cell r="AP214">
            <v>-169.67529816410001</v>
          </cell>
        </row>
        <row r="215">
          <cell r="H215">
            <v>99.927000000000007</v>
          </cell>
          <cell r="K215">
            <v>29.906694336208002</v>
          </cell>
          <cell r="AG215" t="str">
            <v>US91282CBW01</v>
          </cell>
          <cell r="AP215">
            <v>2616.7982502688001</v>
          </cell>
        </row>
        <row r="216">
          <cell r="H216">
            <v>99.927000000000007</v>
          </cell>
          <cell r="K216">
            <v>32.095666090904999</v>
          </cell>
          <cell r="AG216" t="str">
            <v>US912828R366</v>
          </cell>
          <cell r="AP216">
            <v>2833.8528505432</v>
          </cell>
        </row>
        <row r="217">
          <cell r="H217">
            <v>99.930999999999997</v>
          </cell>
          <cell r="K217">
            <v>33.862249696840003</v>
          </cell>
          <cell r="AG217" t="str">
            <v>US912828M565</v>
          </cell>
          <cell r="AP217">
            <v>3000.1324505521002</v>
          </cell>
        </row>
        <row r="218">
          <cell r="H218">
            <v>99.927000000000007</v>
          </cell>
          <cell r="K218">
            <v>38.254410932829003</v>
          </cell>
          <cell r="AG218" t="str">
            <v>US9128285C00</v>
          </cell>
          <cell r="AP218">
            <v>3427.9434652169002</v>
          </cell>
        </row>
        <row r="219">
          <cell r="H219">
            <v>99.927000000000007</v>
          </cell>
          <cell r="K219">
            <v>13.495734677210001</v>
          </cell>
          <cell r="AG219" t="str">
            <v>US91282CGA36</v>
          </cell>
          <cell r="AP219">
            <v>973.98190584545</v>
          </cell>
        </row>
        <row r="220">
          <cell r="H220">
            <v>99.941500000000005</v>
          </cell>
          <cell r="K220">
            <v>28.999788075103002</v>
          </cell>
          <cell r="AG220" t="str">
            <v>US91282CFW64</v>
          </cell>
          <cell r="AP220">
            <v>2513.8862883782999</v>
          </cell>
        </row>
      </sheetData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0D75E2-0085-4336-AFA2-57D16F49E896}" name="Bonos" displayName="Bonos" ref="A1:P72" totalsRowShown="0" headerRowBorderDxfId="16" tableBorderDxfId="17">
  <autoFilter ref="A1:P72" xr:uid="{230D75E2-0085-4336-AFA2-57D16F49E896}"/>
  <tableColumns count="16">
    <tableColumn id="1" xr3:uid="{EAF877B8-4926-4959-BBFA-585A75C8391D}" name="Issuer" dataDxfId="15"/>
    <tableColumn id="2" xr3:uid="{B2C00443-39F1-4600-BE48-DDA923D78603}" name="Industry" dataDxfId="14"/>
    <tableColumn id="3" xr3:uid="{056A063A-7DD1-426B-801B-BA928025AEA7}" name="Guarantor/Organization" dataDxfId="13"/>
    <tableColumn id="4" xr3:uid="{025668FE-93B1-4247-8E7A-ABE2826DECF9}" name="IG - HY" dataDxfId="12"/>
    <tableColumn id="5" xr3:uid="{93EB2ECC-49AC-4CF3-BEA3-A986802A4943}" name="Rating" dataDxfId="11"/>
    <tableColumn id="6" xr3:uid="{C652B961-0C28-471B-A2F2-0484E1BCEEA3}" name="Coupon %" dataDxfId="10"/>
    <tableColumn id="7" xr3:uid="{BC3F132C-6722-43C0-8763-BCF6C453DE6C}" name="Maturity" dataDxfId="9"/>
    <tableColumn id="8" xr3:uid="{186BEC2D-B3E8-4C1B-AF49-D26B793A588E}" name="Year" dataDxfId="8"/>
    <tableColumn id="20" xr3:uid="{C5B9CC1E-2FA8-48FA-ACF8-02CFF554B424}" name="Price" dataDxfId="7">
      <calculatedColumnFormula>_xlfn.XLOOKUP(Bonos[[#This Row],[ISIN]],[2]bonos!$AG$2:$AG$220,[2]bonos!$H$2:$H$220)</calculatedColumnFormula>
    </tableColumn>
    <tableColumn id="9" xr3:uid="{74DBEB6E-2B38-4756-9C55-DC41829F2AAE}" name="YTW %" dataDxfId="6">
      <calculatedColumnFormula>_xlfn.XLOOKUP(Bonos[[#This Row],[ISIN]],[2]bonos!$AG$2:$AG$220,[2]bonos!$K$2:$K$220)</calculatedColumnFormula>
    </tableColumn>
    <tableColumn id="21" xr3:uid="{C7B9A70F-7A8D-4ECF-B313-D80162BEF2AC}" name="Gspread" dataDxfId="5">
      <calculatedColumnFormula>_xlfn.XLOOKUP(Bonos[[#This Row],[ISIN]],[2]bonos!$AG$2:$AG$220,[2]bonos!$AP$2:$AP$220)</calculatedColumnFormula>
    </tableColumn>
    <tableColumn id="10" xr3:uid="{0445B399-F1E4-4E60-B4C4-F7BCF55169D7}" name="Prev month_x000a_YTW%" dataDxfId="4" dataCellStyle="Porcentaje"/>
    <tableColumn id="16" xr3:uid="{598A638E-5D30-4402-8C03-7D8FB7026143}" name="Minimum Settlement" dataDxfId="3" dataCellStyle="Millares 3"/>
    <tableColumn id="17" xr3:uid="{6C62A4A4-AF52-466C-9C5B-18BFC7CB7F2E}" name="ISIN" dataDxfId="2"/>
    <tableColumn id="18" xr3:uid="{1BC656B6-7DF8-499B-94D4-E75FA0DEE401}" name="Outstanding_x000a_US$" dataDxfId="1" dataCellStyle="Millares 3"/>
    <tableColumn id="22" xr3:uid="{ACB77059-8EFE-49B1-BE87-11A1BB6FF77E}" name="Decisión" dataDxfId="0" dataCellStyle="Porcentaj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bonds.es/bonds/420737/" TargetMode="External"/><Relationship Id="rId21" Type="http://schemas.openxmlformats.org/officeDocument/2006/relationships/hyperlink" Target="https://cbonds.es/bonds/1703921/" TargetMode="External"/><Relationship Id="rId42" Type="http://schemas.openxmlformats.org/officeDocument/2006/relationships/hyperlink" Target="https://cbonds.es/bonds/734109/" TargetMode="External"/><Relationship Id="rId47" Type="http://schemas.openxmlformats.org/officeDocument/2006/relationships/hyperlink" Target="https://cbonds.es/bonds/1157131/" TargetMode="External"/><Relationship Id="rId63" Type="http://schemas.openxmlformats.org/officeDocument/2006/relationships/hyperlink" Target="https://cbonds.es/bonds/931369/" TargetMode="External"/><Relationship Id="rId68" Type="http://schemas.openxmlformats.org/officeDocument/2006/relationships/hyperlink" Target="https://cbonds.es/bonds/1100655/" TargetMode="External"/><Relationship Id="rId7" Type="http://schemas.openxmlformats.org/officeDocument/2006/relationships/hyperlink" Target="https://cbonds.es/bonds/472665/" TargetMode="External"/><Relationship Id="rId71" Type="http://schemas.openxmlformats.org/officeDocument/2006/relationships/hyperlink" Target="https://cbonds.es/bonds/2086847/" TargetMode="External"/><Relationship Id="rId2" Type="http://schemas.openxmlformats.org/officeDocument/2006/relationships/hyperlink" Target="https://cbonds.es/bonds/1667863/" TargetMode="External"/><Relationship Id="rId16" Type="http://schemas.openxmlformats.org/officeDocument/2006/relationships/hyperlink" Target="https://cbonds.es/bonds/1492315/" TargetMode="External"/><Relationship Id="rId29" Type="http://schemas.openxmlformats.org/officeDocument/2006/relationships/hyperlink" Target="https://cbonds.es/bonds/1789921/" TargetMode="External"/><Relationship Id="rId11" Type="http://schemas.openxmlformats.org/officeDocument/2006/relationships/hyperlink" Target="https://cbonds.es/bonds/769589/" TargetMode="External"/><Relationship Id="rId24" Type="http://schemas.openxmlformats.org/officeDocument/2006/relationships/hyperlink" Target="https://cbonds.es/bonds/1315003/" TargetMode="External"/><Relationship Id="rId32" Type="http://schemas.openxmlformats.org/officeDocument/2006/relationships/hyperlink" Target="https://cbonds.es/bonds/790949/" TargetMode="External"/><Relationship Id="rId37" Type="http://schemas.openxmlformats.org/officeDocument/2006/relationships/hyperlink" Target="https://cbonds.es/bonds/628541/" TargetMode="External"/><Relationship Id="rId40" Type="http://schemas.openxmlformats.org/officeDocument/2006/relationships/hyperlink" Target="https://cbonds.es/bonds/1779587/" TargetMode="External"/><Relationship Id="rId45" Type="http://schemas.openxmlformats.org/officeDocument/2006/relationships/hyperlink" Target="https://cbonds.es/bonds/996245/" TargetMode="External"/><Relationship Id="rId53" Type="http://schemas.openxmlformats.org/officeDocument/2006/relationships/hyperlink" Target="https://cbonds.es/bonds/1187657/" TargetMode="External"/><Relationship Id="rId58" Type="http://schemas.openxmlformats.org/officeDocument/2006/relationships/hyperlink" Target="https://cbonds.es/bonds/1984455/" TargetMode="External"/><Relationship Id="rId66" Type="http://schemas.openxmlformats.org/officeDocument/2006/relationships/hyperlink" Target="https://cbonds.es/bonds/845997/" TargetMode="External"/><Relationship Id="rId5" Type="http://schemas.openxmlformats.org/officeDocument/2006/relationships/hyperlink" Target="https://cbonds.es/bonds/1166809/" TargetMode="External"/><Relationship Id="rId61" Type="http://schemas.openxmlformats.org/officeDocument/2006/relationships/hyperlink" Target="https://cbonds.es/bonds/55855/" TargetMode="External"/><Relationship Id="rId19" Type="http://schemas.openxmlformats.org/officeDocument/2006/relationships/hyperlink" Target="https://cbonds.es/bonds/608013/" TargetMode="External"/><Relationship Id="rId14" Type="http://schemas.openxmlformats.org/officeDocument/2006/relationships/hyperlink" Target="https://cbonds.es/bonds/772949/" TargetMode="External"/><Relationship Id="rId22" Type="http://schemas.openxmlformats.org/officeDocument/2006/relationships/hyperlink" Target="https://cbonds.es/bonds/957547/" TargetMode="External"/><Relationship Id="rId27" Type="http://schemas.openxmlformats.org/officeDocument/2006/relationships/hyperlink" Target="https://cbonds.es/bonds/1949439/" TargetMode="External"/><Relationship Id="rId30" Type="http://schemas.openxmlformats.org/officeDocument/2006/relationships/hyperlink" Target="https://cbonds.es/bonds/669755/" TargetMode="External"/><Relationship Id="rId35" Type="http://schemas.openxmlformats.org/officeDocument/2006/relationships/hyperlink" Target="https://cbonds.es/bonds/1498287/" TargetMode="External"/><Relationship Id="rId43" Type="http://schemas.openxmlformats.org/officeDocument/2006/relationships/hyperlink" Target="https://cbonds.es/bonds/794981/" TargetMode="External"/><Relationship Id="rId48" Type="http://schemas.openxmlformats.org/officeDocument/2006/relationships/hyperlink" Target="https://cbonds.es/bonds/1881513/" TargetMode="External"/><Relationship Id="rId56" Type="http://schemas.openxmlformats.org/officeDocument/2006/relationships/hyperlink" Target="https://cbonds.es/bonds/1794165/" TargetMode="External"/><Relationship Id="rId64" Type="http://schemas.openxmlformats.org/officeDocument/2006/relationships/hyperlink" Target="https://cbonds.es/bonds/1271609/" TargetMode="External"/><Relationship Id="rId69" Type="http://schemas.openxmlformats.org/officeDocument/2006/relationships/hyperlink" Target="https://cbonds.es/bonds/1048259/" TargetMode="External"/><Relationship Id="rId8" Type="http://schemas.openxmlformats.org/officeDocument/2006/relationships/hyperlink" Target="https://cbonds.es/bonds/1163671/" TargetMode="External"/><Relationship Id="rId51" Type="http://schemas.openxmlformats.org/officeDocument/2006/relationships/hyperlink" Target="https://cbonds.es/bonds/1755883/" TargetMode="External"/><Relationship Id="rId72" Type="http://schemas.openxmlformats.org/officeDocument/2006/relationships/table" Target="../tables/table1.xml"/><Relationship Id="rId3" Type="http://schemas.openxmlformats.org/officeDocument/2006/relationships/hyperlink" Target="https://cbonds.es/bonds/808185/" TargetMode="External"/><Relationship Id="rId12" Type="http://schemas.openxmlformats.org/officeDocument/2006/relationships/hyperlink" Target="https://cbonds.es/bonds/364505/" TargetMode="External"/><Relationship Id="rId17" Type="http://schemas.openxmlformats.org/officeDocument/2006/relationships/hyperlink" Target="https://cbonds.es/bonds/1478383/" TargetMode="External"/><Relationship Id="rId25" Type="http://schemas.openxmlformats.org/officeDocument/2006/relationships/hyperlink" Target="https://cbonds.es/bonds/738225/" TargetMode="External"/><Relationship Id="rId33" Type="http://schemas.openxmlformats.org/officeDocument/2006/relationships/hyperlink" Target="https://cbonds.es/bonds/791817/" TargetMode="External"/><Relationship Id="rId38" Type="http://schemas.openxmlformats.org/officeDocument/2006/relationships/hyperlink" Target="https://cbonds.es/bonds/803987/" TargetMode="External"/><Relationship Id="rId46" Type="http://schemas.openxmlformats.org/officeDocument/2006/relationships/hyperlink" Target="https://cbonds.es/bonds/611487/" TargetMode="External"/><Relationship Id="rId59" Type="http://schemas.openxmlformats.org/officeDocument/2006/relationships/hyperlink" Target="https://cbonds.es/bonds/1911737/" TargetMode="External"/><Relationship Id="rId67" Type="http://schemas.openxmlformats.org/officeDocument/2006/relationships/hyperlink" Target="https://cbonds.es/bonds/856277/" TargetMode="External"/><Relationship Id="rId20" Type="http://schemas.openxmlformats.org/officeDocument/2006/relationships/hyperlink" Target="https://cbonds.es/bonds/602945/" TargetMode="External"/><Relationship Id="rId41" Type="http://schemas.openxmlformats.org/officeDocument/2006/relationships/hyperlink" Target="https://cbonds.es/bonds/1601395/" TargetMode="External"/><Relationship Id="rId54" Type="http://schemas.openxmlformats.org/officeDocument/2006/relationships/hyperlink" Target="https://cbonds.es/bonds/1843427/" TargetMode="External"/><Relationship Id="rId62" Type="http://schemas.openxmlformats.org/officeDocument/2006/relationships/hyperlink" Target="https://cbonds.es/bonds/1500493/" TargetMode="External"/><Relationship Id="rId70" Type="http://schemas.openxmlformats.org/officeDocument/2006/relationships/hyperlink" Target="https://cbonds.com/bonds/1701869/" TargetMode="External"/><Relationship Id="rId1" Type="http://schemas.openxmlformats.org/officeDocument/2006/relationships/hyperlink" Target="https://cbonds.es/bonds/1162051/" TargetMode="External"/><Relationship Id="rId6" Type="http://schemas.openxmlformats.org/officeDocument/2006/relationships/hyperlink" Target="https://cbonds.es/bonds/376089/" TargetMode="External"/><Relationship Id="rId15" Type="http://schemas.openxmlformats.org/officeDocument/2006/relationships/hyperlink" Target="https://cbonds.es/bonds/1549041/" TargetMode="External"/><Relationship Id="rId23" Type="http://schemas.openxmlformats.org/officeDocument/2006/relationships/hyperlink" Target="https://cbonds.es/bonds/1664217/" TargetMode="External"/><Relationship Id="rId28" Type="http://schemas.openxmlformats.org/officeDocument/2006/relationships/hyperlink" Target="https://cbonds.es/bonds/1860779/" TargetMode="External"/><Relationship Id="rId36" Type="http://schemas.openxmlformats.org/officeDocument/2006/relationships/hyperlink" Target="https://cbonds.es/bonds/753615/" TargetMode="External"/><Relationship Id="rId49" Type="http://schemas.openxmlformats.org/officeDocument/2006/relationships/hyperlink" Target="https://cbonds.es/bonds/1177399/" TargetMode="External"/><Relationship Id="rId57" Type="http://schemas.openxmlformats.org/officeDocument/2006/relationships/hyperlink" Target="https://cbonds.es/bonds/1762801/" TargetMode="External"/><Relationship Id="rId10" Type="http://schemas.openxmlformats.org/officeDocument/2006/relationships/hyperlink" Target="https://cbonds.es/bonds/454235/" TargetMode="External"/><Relationship Id="rId31" Type="http://schemas.openxmlformats.org/officeDocument/2006/relationships/hyperlink" Target="https://cbonds.es/bonds/1223805/" TargetMode="External"/><Relationship Id="rId44" Type="http://schemas.openxmlformats.org/officeDocument/2006/relationships/hyperlink" Target="https://cbonds.es/bonds/1044529/" TargetMode="External"/><Relationship Id="rId52" Type="http://schemas.openxmlformats.org/officeDocument/2006/relationships/hyperlink" Target="https://cbonds.es/bonds/1227431/" TargetMode="External"/><Relationship Id="rId60" Type="http://schemas.openxmlformats.org/officeDocument/2006/relationships/hyperlink" Target="https://cbonds.es/bonds/1756543/" TargetMode="External"/><Relationship Id="rId65" Type="http://schemas.openxmlformats.org/officeDocument/2006/relationships/hyperlink" Target="https://cbonds.com/bonds/738111/" TargetMode="External"/><Relationship Id="rId4" Type="http://schemas.openxmlformats.org/officeDocument/2006/relationships/hyperlink" Target="https://cbonds.es/bonds/330343/" TargetMode="External"/><Relationship Id="rId9" Type="http://schemas.openxmlformats.org/officeDocument/2006/relationships/hyperlink" Target="https://cbonds.es/bonds/456955/" TargetMode="External"/><Relationship Id="rId13" Type="http://schemas.openxmlformats.org/officeDocument/2006/relationships/hyperlink" Target="https://cbonds.es/bonds/56381/" TargetMode="External"/><Relationship Id="rId18" Type="http://schemas.openxmlformats.org/officeDocument/2006/relationships/hyperlink" Target="https://cbonds.es/bonds/569091/" TargetMode="External"/><Relationship Id="rId39" Type="http://schemas.openxmlformats.org/officeDocument/2006/relationships/hyperlink" Target="https://cbonds.es/bonds/1881783/" TargetMode="External"/><Relationship Id="rId34" Type="http://schemas.openxmlformats.org/officeDocument/2006/relationships/hyperlink" Target="https://cbonds.es/bonds/1166811/" TargetMode="External"/><Relationship Id="rId50" Type="http://schemas.openxmlformats.org/officeDocument/2006/relationships/hyperlink" Target="https://cbonds.es/bonds/1701867/" TargetMode="External"/><Relationship Id="rId55" Type="http://schemas.openxmlformats.org/officeDocument/2006/relationships/hyperlink" Target="https://cbonds.es/bonds/194195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FF2F4-11C0-433C-9540-66AEF48816EC}">
  <dimension ref="A1:P72"/>
  <sheetViews>
    <sheetView tabSelected="1" zoomScale="85" zoomScaleNormal="85" workbookViewId="0">
      <selection activeCell="Q5" sqref="Q5"/>
    </sheetView>
  </sheetViews>
  <sheetFormatPr baseColWidth="10" defaultRowHeight="15"/>
  <cols>
    <col min="1" max="1" width="29" bestFit="1" customWidth="1"/>
    <col min="2" max="2" width="25.7109375" customWidth="1"/>
    <col min="5" max="5" width="11.42578125" style="1"/>
    <col min="6" max="6" width="11.42578125" style="2"/>
    <col min="8" max="9" width="11.42578125" style="1"/>
  </cols>
  <sheetData>
    <row r="1" spans="1:16" ht="48" thickBot="1">
      <c r="A1" s="3" t="s">
        <v>141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5" t="s">
        <v>6</v>
      </c>
      <c r="I1" s="5" t="s">
        <v>142</v>
      </c>
      <c r="J1" s="4" t="s">
        <v>7</v>
      </c>
      <c r="K1" s="4" t="s">
        <v>143</v>
      </c>
      <c r="L1" s="5" t="s">
        <v>146</v>
      </c>
      <c r="M1" s="5" t="s">
        <v>8</v>
      </c>
      <c r="N1" s="4" t="s">
        <v>9</v>
      </c>
      <c r="O1" s="6" t="s">
        <v>147</v>
      </c>
      <c r="P1" s="7" t="s">
        <v>160</v>
      </c>
    </row>
    <row r="2" spans="1:16">
      <c r="A2" s="8" t="s">
        <v>144</v>
      </c>
      <c r="B2" s="9" t="s">
        <v>10</v>
      </c>
      <c r="C2" s="9" t="s">
        <v>11</v>
      </c>
      <c r="D2" s="9" t="s">
        <v>12</v>
      </c>
      <c r="E2" s="9" t="s">
        <v>13</v>
      </c>
      <c r="F2" s="10">
        <v>2.4500000000000001E-2</v>
      </c>
      <c r="G2" s="11" t="s">
        <v>148</v>
      </c>
      <c r="H2" s="12">
        <v>2026</v>
      </c>
      <c r="I2" s="13">
        <f>_xlfn.XLOOKUP(Bonos[[#This Row],[ISIN]],[2]bonos!$AG$2:$AG$220,[2]bonos!$H$2:$H$220)</f>
        <v>99.5</v>
      </c>
      <c r="J2" s="13">
        <f>_xlfn.XLOOKUP(Bonos[[#This Row],[ISIN]],[2]bonos!$AG$2:$AG$220,[2]bonos!$K$2:$K$220)</f>
        <v>4.3908531690574</v>
      </c>
      <c r="K2" s="13">
        <f>_xlfn.XLOOKUP(Bonos[[#This Row],[ISIN]],[2]bonos!$AG$2:$AG$220,[2]bonos!$AP$2:$AP$220)</f>
        <v>35.044994044577003</v>
      </c>
      <c r="L2" s="13">
        <v>4.2832431600931002</v>
      </c>
      <c r="M2" s="14">
        <v>150000</v>
      </c>
      <c r="N2" s="15" t="s">
        <v>14</v>
      </c>
      <c r="O2" s="16">
        <v>3750000000</v>
      </c>
      <c r="P2" s="17" t="s">
        <v>161</v>
      </c>
    </row>
    <row r="3" spans="1:16">
      <c r="A3" s="8" t="s">
        <v>145</v>
      </c>
      <c r="B3" s="9" t="s">
        <v>15</v>
      </c>
      <c r="C3" s="9" t="s">
        <v>16</v>
      </c>
      <c r="D3" s="9" t="s">
        <v>12</v>
      </c>
      <c r="E3" s="9" t="s">
        <v>17</v>
      </c>
      <c r="F3" s="10">
        <v>5.8500000000000003E-2</v>
      </c>
      <c r="G3" s="11">
        <v>46524</v>
      </c>
      <c r="H3" s="12">
        <v>2027</v>
      </c>
      <c r="I3" s="13">
        <f>_xlfn.XLOOKUP(Bonos[[#This Row],[ISIN]],[2]bonos!$AG$2:$AG$220,[2]bonos!$H$2:$H$220)</f>
        <v>100.54</v>
      </c>
      <c r="J3" s="13">
        <f>_xlfn.XLOOKUP(Bonos[[#This Row],[ISIN]],[2]bonos!$AG$2:$AG$220,[2]bonos!$K$2:$K$220)</f>
        <v>5.2217860674756</v>
      </c>
      <c r="K3" s="13">
        <f>_xlfn.XLOOKUP(Bonos[[#This Row],[ISIN]],[2]bonos!$AG$2:$AG$220,[2]bonos!$AP$2:$AP$220)</f>
        <v>116.70117695684</v>
      </c>
      <c r="L3" s="13">
        <v>5.0570708139880001</v>
      </c>
      <c r="M3" s="14">
        <v>2000</v>
      </c>
      <c r="N3" s="15" t="s">
        <v>18</v>
      </c>
      <c r="O3" s="16">
        <v>1500000000</v>
      </c>
      <c r="P3" s="17" t="s">
        <v>161</v>
      </c>
    </row>
    <row r="4" spans="1:16">
      <c r="A4" s="8" t="s">
        <v>144</v>
      </c>
      <c r="B4" s="9" t="s">
        <v>10</v>
      </c>
      <c r="C4" s="9" t="s">
        <v>11</v>
      </c>
      <c r="D4" s="9" t="s">
        <v>12</v>
      </c>
      <c r="E4" s="9" t="s">
        <v>13</v>
      </c>
      <c r="F4" s="10">
        <v>4.6249999999999999E-2</v>
      </c>
      <c r="G4" s="11">
        <v>46675</v>
      </c>
      <c r="H4" s="12">
        <v>2027</v>
      </c>
      <c r="I4" s="13">
        <f>_xlfn.XLOOKUP(Bonos[[#This Row],[ISIN]],[2]bonos!$AG$2:$AG$220,[2]bonos!$H$2:$H$220)</f>
        <v>99.905000000000001</v>
      </c>
      <c r="J4" s="13">
        <f>_xlfn.XLOOKUP(Bonos[[#This Row],[ISIN]],[2]bonos!$AG$2:$AG$220,[2]bonos!$K$2:$K$220)</f>
        <v>4.7551093516370004</v>
      </c>
      <c r="K4" s="13">
        <f>_xlfn.XLOOKUP(Bonos[[#This Row],[ISIN]],[2]bonos!$AG$2:$AG$220,[2]bonos!$AP$2:$AP$220)</f>
        <v>68.730736098094994</v>
      </c>
      <c r="L4" s="13">
        <v>4.6481210859009998</v>
      </c>
      <c r="M4" s="14">
        <v>150000</v>
      </c>
      <c r="N4" s="15" t="s">
        <v>19</v>
      </c>
      <c r="O4" s="16">
        <v>600000000</v>
      </c>
      <c r="P4" s="17" t="s">
        <v>161</v>
      </c>
    </row>
    <row r="5" spans="1:16">
      <c r="A5" s="8" t="str">
        <f>+_xlfn.XLOOKUP($N5,'[1]Cbonds export 05.20.2025'!$K:$K,'[1]Cbonds export 05.20.2025'!$B:$B,1,0,1)</f>
        <v>Sirius XM Holdings</v>
      </c>
      <c r="B5" s="9" t="str">
        <f>+_xlfn.XLOOKUP($N5,'[1]Cbonds export 05.20.2025'!$K:$K,'[1]Cbonds export 05.20.2025'!$C:$C,1,0,1)</f>
        <v>Media</v>
      </c>
      <c r="C5" s="9" t="s">
        <v>20</v>
      </c>
      <c r="D5" s="9" t="s">
        <v>21</v>
      </c>
      <c r="E5" s="9" t="str">
        <f>+_xlfn.XLOOKUP($N5,'[1]Cbonds export 05.20.2025'!$K:$K,'[1]Cbonds export 05.20.2025'!$D:$D,1,0,1)</f>
        <v>-/BB+/-</v>
      </c>
      <c r="F5" s="10">
        <f>+_xlfn.XLOOKUP($N5,'[1]Cbonds export 05.20.2025'!$K:$K,'[1]Cbonds export 05.20.2025'!$F:$F,1,0,1)</f>
        <v>0.05</v>
      </c>
      <c r="G5" s="11">
        <f>+_xlfn.XLOOKUP($N5,'[1]Cbonds export 05.20.2025'!$K:$K,'[1]Cbonds export 05.20.2025'!$G:$G,1,0,1)</f>
        <v>46395</v>
      </c>
      <c r="H5" s="12">
        <f>YEAR(G5)</f>
        <v>2027</v>
      </c>
      <c r="I5" s="13">
        <f>_xlfn.XLOOKUP(Bonos[[#This Row],[ISIN]],[2]bonos!$AG$2:$AG$220,[2]bonos!$H$2:$H$220)</f>
        <v>99.9375</v>
      </c>
      <c r="J5" s="13">
        <f>_xlfn.XLOOKUP(Bonos[[#This Row],[ISIN]],[2]bonos!$AG$2:$AG$220,[2]bonos!$K$2:$K$220)</f>
        <v>5.1261015299891</v>
      </c>
      <c r="K5" s="13">
        <f>_xlfn.XLOOKUP(Bonos[[#This Row],[ISIN]],[2]bonos!$AG$2:$AG$220,[2]bonos!$AP$2:$AP$220)</f>
        <v>106.54769890657001</v>
      </c>
      <c r="L5" s="13">
        <v>5.2465634689330001</v>
      </c>
      <c r="M5" s="14">
        <f>+_xlfn.XLOOKUP($N5,'[1]Cbonds export 05.20.2025'!$K:$K,'[1]Cbonds export 05.20.2025'!$J:$J,1,0,1)</f>
        <v>2000</v>
      </c>
      <c r="N5" s="18" t="s">
        <v>22</v>
      </c>
      <c r="O5" s="16">
        <v>1500000000</v>
      </c>
      <c r="P5" s="17" t="s">
        <v>161</v>
      </c>
    </row>
    <row r="6" spans="1:16">
      <c r="A6" s="19" t="str">
        <f>+_xlfn.XLOOKUP($N6,'[1]Cbonds export 05.20.2025'!$K:$K,'[1]Cbonds export 05.20.2025'!$B:$B,1,0,1)</f>
        <v>Viatris</v>
      </c>
      <c r="B6" s="20" t="str">
        <f>+_xlfn.XLOOKUP($N6,'[1]Cbonds export 05.20.2025'!$K:$K,'[1]Cbonds export 05.20.2025'!$C:$C,1,0,1)</f>
        <v>Pharmaceutical Preparation and Biotechnology</v>
      </c>
      <c r="C6" s="20" t="s">
        <v>23</v>
      </c>
      <c r="D6" s="9" t="s">
        <v>21</v>
      </c>
      <c r="E6" s="20" t="str">
        <f>+_xlfn.XLOOKUP($N6,'[1]Cbonds export 05.20.2025'!$K:$K,'[1]Cbonds export 05.20.2025'!$D:$D,1,0,1)</f>
        <v>-/BB+/BBB</v>
      </c>
      <c r="F6" s="10">
        <f>+_xlfn.XLOOKUP($N6,'[1]Cbonds export 05.20.2025'!$K:$K,'[1]Cbonds export 05.20.2025'!$F:$F,1,0,1)</f>
        <v>2.3E-2</v>
      </c>
      <c r="G6" s="11" t="str">
        <f>+_xlfn.XLOOKUP($N6,'[1]Cbonds export 05.20.2025'!$K:$K,'[1]Cbonds export 05.20.2025'!$G:$G,1,0,1)</f>
        <v>22/06/2027</v>
      </c>
      <c r="H6" s="12">
        <f>YEAR(G6)</f>
        <v>2027</v>
      </c>
      <c r="I6" s="13">
        <f>_xlfn.XLOOKUP(Bonos[[#This Row],[ISIN]],[2]bonos!$AG$2:$AG$220,[2]bonos!$H$2:$H$220)</f>
        <v>97.647549999999995</v>
      </c>
      <c r="J6" s="13">
        <f>_xlfn.XLOOKUP(Bonos[[#This Row],[ISIN]],[2]bonos!$AG$2:$AG$220,[2]bonos!$K$2:$K$220)</f>
        <v>5.0240797819032004</v>
      </c>
      <c r="K6" s="13">
        <f>_xlfn.XLOOKUP(Bonos[[#This Row],[ISIN]],[2]bonos!$AG$2:$AG$220,[2]bonos!$AP$2:$AP$220)</f>
        <v>96.599163452865</v>
      </c>
      <c r="L6" s="13">
        <v>4.7662251119193</v>
      </c>
      <c r="M6" s="14">
        <f>+_xlfn.XLOOKUP($N6,'[1]Cbonds export 05.20.2025'!$K:$K,'[1]Cbonds export 05.20.2025'!$J:$J,1,0,1)</f>
        <v>2000</v>
      </c>
      <c r="N6" s="15" t="s">
        <v>24</v>
      </c>
      <c r="O6" s="16">
        <v>748995000</v>
      </c>
      <c r="P6" s="17" t="s">
        <v>161</v>
      </c>
    </row>
    <row r="7" spans="1:16">
      <c r="A7" s="21" t="str">
        <f>+_xlfn.XLOOKUP($N7,'[1]Cbonds export 05.20.2025'!$K:$K,'[1]Cbonds export 05.20.2025'!$B:$B,1,0,1)</f>
        <v>Falabella</v>
      </c>
      <c r="B7" s="22" t="str">
        <f>+_xlfn.XLOOKUP($N7,'[1]Cbonds export 05.20.2025'!$K:$K,'[1]Cbonds export 05.20.2025'!$C:$C,1,0,1)</f>
        <v>Specialty Retailers</v>
      </c>
      <c r="C7" s="22" t="s">
        <v>155</v>
      </c>
      <c r="D7" s="22" t="s">
        <v>21</v>
      </c>
      <c r="E7" s="22" t="str">
        <f>+_xlfn.XLOOKUP($N7,'[1]Cbonds export 05.20.2025'!$K:$K,'[1]Cbonds export 05.20.2025'!$D:$D,1,0,1)</f>
        <v>-/BB+/BB+</v>
      </c>
      <c r="F7" s="23">
        <f>+_xlfn.XLOOKUP($N7,'[1]Cbonds export 05.20.2025'!$K:$K,'[1]Cbonds export 05.20.2025'!$F:$F,1,0,1)</f>
        <v>3.7499999999999999E-2</v>
      </c>
      <c r="G7" s="24" t="str">
        <f>+_xlfn.XLOOKUP($N7,'[1]Cbonds export 05.20.2025'!$K:$K,'[1]Cbonds export 05.20.2025'!$G:$G,1,0,1)</f>
        <v>30/10/2027</v>
      </c>
      <c r="H7" s="25">
        <f>YEAR(G7)</f>
        <v>2027</v>
      </c>
      <c r="I7" s="26">
        <f>_xlfn.XLOOKUP(Bonos[[#This Row],[ISIN]],[2]bonos!$AG$2:$AG$220,[2]bonos!$H$2:$H$220)</f>
        <v>97.6</v>
      </c>
      <c r="J7" s="26">
        <f>_xlfn.XLOOKUP(Bonos[[#This Row],[ISIN]],[2]bonos!$AG$2:$AG$220,[2]bonos!$K$2:$K$220)</f>
        <v>5.8138386217568003</v>
      </c>
      <c r="K7" s="26">
        <f>_xlfn.XLOOKUP(Bonos[[#This Row],[ISIN]],[2]bonos!$AG$2:$AG$220,[2]bonos!$AP$2:$AP$220)</f>
        <v>174.43230620431001</v>
      </c>
      <c r="L7" s="26">
        <v>5.4298213376745998</v>
      </c>
      <c r="M7" s="27">
        <f>+_xlfn.XLOOKUP($N7,'[1]Cbonds export 05.20.2025'!$K:$K,'[1]Cbonds export 05.20.2025'!$J:$J,1,0,1)</f>
        <v>200000</v>
      </c>
      <c r="N7" s="28" t="s">
        <v>156</v>
      </c>
      <c r="O7" s="29">
        <v>89906000</v>
      </c>
      <c r="P7" s="17" t="s">
        <v>161</v>
      </c>
    </row>
    <row r="8" spans="1:16">
      <c r="A8" s="8" t="str">
        <f>+_xlfn.XLOOKUP($N8,'[1]Cbonds export 05.20.2025'!$K:$K,'[1]Cbonds export 05.20.2025'!$B:$B,1,0,1)</f>
        <v>Eastman Chemical</v>
      </c>
      <c r="B8" s="9" t="str">
        <f>+_xlfn.XLOOKUP($N8,'[1]Cbonds export 05.20.2025'!$K:$K,'[1]Cbonds export 05.20.2025'!$C:$C,1,0,1)</f>
        <v>Chemical and petrochemical industry</v>
      </c>
      <c r="C8" s="9" t="s">
        <v>25</v>
      </c>
      <c r="D8" s="9" t="s">
        <v>12</v>
      </c>
      <c r="E8" s="9" t="str">
        <f>+_xlfn.XLOOKUP($N8,'[1]Cbonds export 05.20.2025'!$K:$K,'[1]Cbonds export 05.20.2025'!$D:$D,1,0,1)</f>
        <v>Baa2/BBB/Withdrawn</v>
      </c>
      <c r="F8" s="10">
        <f>+_xlfn.XLOOKUP($N8,'[1]Cbonds export 05.20.2025'!$K:$K,'[1]Cbonds export 05.20.2025'!$F:$F,1,0,1)</f>
        <v>4.4999999999999998E-2</v>
      </c>
      <c r="G8" s="11">
        <f>+_xlfn.XLOOKUP($N8,'[1]Cbonds export 05.20.2025'!$K:$K,'[1]Cbonds export 05.20.2025'!$G:$G,1,0,1)</f>
        <v>46764</v>
      </c>
      <c r="H8" s="12">
        <f>YEAR(G8)</f>
        <v>2028</v>
      </c>
      <c r="I8" s="13">
        <f>_xlfn.XLOOKUP(Bonos[[#This Row],[ISIN]],[2]bonos!$AG$2:$AG$220,[2]bonos!$H$2:$H$220)</f>
        <v>99.096599999999995</v>
      </c>
      <c r="J8" s="13">
        <f>_xlfn.XLOOKUP(Bonos[[#This Row],[ISIN]],[2]bonos!$AG$2:$AG$220,[2]bonos!$K$2:$K$220)</f>
        <v>4.9684822597879998</v>
      </c>
      <c r="K8" s="13">
        <f>_xlfn.XLOOKUP(Bonos[[#This Row],[ISIN]],[2]bonos!$AG$2:$AG$220,[2]bonos!$AP$2:$AP$220)</f>
        <v>85.654212702403001</v>
      </c>
      <c r="L8" s="13">
        <v>4.7422361014980003</v>
      </c>
      <c r="M8" s="14">
        <f>+_xlfn.XLOOKUP($N8,'[1]Cbonds export 05.20.2025'!$K:$K,'[1]Cbonds export 05.20.2025'!$J:$J,1,0,1)</f>
        <v>2000</v>
      </c>
      <c r="N8" s="15" t="s">
        <v>26</v>
      </c>
      <c r="O8" s="16">
        <v>300000000</v>
      </c>
      <c r="P8" s="17" t="s">
        <v>161</v>
      </c>
    </row>
    <row r="9" spans="1:16">
      <c r="A9" s="8" t="str">
        <f>+_xlfn.XLOOKUP($N9,'[1]Cbonds export 05.20.2025'!$K:$K,'[1]Cbonds export 05.20.2025'!$B:$B,1,0,1)</f>
        <v>Ally Financial</v>
      </c>
      <c r="B9" s="9" t="str">
        <f>+_xlfn.XLOOKUP($N9,'[1]Cbonds export 05.20.2025'!$K:$K,'[1]Cbonds export 05.20.2025'!$C:$C,1,0,1)</f>
        <v>Banks</v>
      </c>
      <c r="C9" s="9" t="s">
        <v>27</v>
      </c>
      <c r="D9" s="9" t="s">
        <v>12</v>
      </c>
      <c r="E9" s="9" t="str">
        <f>+_xlfn.XLOOKUP($N9,'[1]Cbonds export 05.20.2025'!$K:$K,'[1]Cbonds export 05.20.2025'!$D:$D,1,0,1)</f>
        <v>Baa3/BBB-/BBB-</v>
      </c>
      <c r="F9" s="10">
        <f>+_xlfn.XLOOKUP($N9,'[1]Cbonds export 05.20.2025'!$K:$K,'[1]Cbonds export 05.20.2025'!$F:$F,1,0,1)</f>
        <v>2.1999999999999999E-2</v>
      </c>
      <c r="G9" s="11">
        <f>+_xlfn.XLOOKUP($N9,'[1]Cbonds export 05.20.2025'!$K:$K,'[1]Cbonds export 05.20.2025'!$G:$G,1,0,1)</f>
        <v>46794</v>
      </c>
      <c r="H9" s="12">
        <f>YEAR(G9)</f>
        <v>2028</v>
      </c>
      <c r="I9" s="13">
        <f>_xlfn.XLOOKUP(Bonos[[#This Row],[ISIN]],[2]bonos!$AG$2:$AG$220,[2]bonos!$H$2:$H$220)</f>
        <v>94.102000000000004</v>
      </c>
      <c r="J9" s="13">
        <f>_xlfn.XLOOKUP(Bonos[[#This Row],[ISIN]],[2]bonos!$AG$2:$AG$220,[2]bonos!$K$2:$K$220)</f>
        <v>5.0342310397633003</v>
      </c>
      <c r="K9" s="13">
        <f>_xlfn.XLOOKUP(Bonos[[#This Row],[ISIN]],[2]bonos!$AG$2:$AG$220,[2]bonos!$AP$2:$AP$220)</f>
        <v>92.363190210389007</v>
      </c>
      <c r="L9" s="13">
        <v>4.7570508823191</v>
      </c>
      <c r="M9" s="14">
        <f>+_xlfn.XLOOKUP($N9,'[1]Cbonds export 05.20.2025'!$K:$K,'[1]Cbonds export 05.20.2025'!$J:$J,1,0,1)</f>
        <v>2000</v>
      </c>
      <c r="N9" s="15" t="s">
        <v>28</v>
      </c>
      <c r="O9" s="16">
        <v>750000000</v>
      </c>
      <c r="P9" s="17" t="s">
        <v>161</v>
      </c>
    </row>
    <row r="10" spans="1:16">
      <c r="A10" s="8" t="s">
        <v>29</v>
      </c>
      <c r="B10" s="9" t="s">
        <v>15</v>
      </c>
      <c r="C10" s="9" t="s">
        <v>29</v>
      </c>
      <c r="D10" s="9" t="s">
        <v>12</v>
      </c>
      <c r="E10" s="9" t="s">
        <v>30</v>
      </c>
      <c r="F10" s="10">
        <v>0.05</v>
      </c>
      <c r="G10" s="11">
        <v>46762</v>
      </c>
      <c r="H10" s="12">
        <v>2028</v>
      </c>
      <c r="I10" s="13">
        <f>_xlfn.XLOOKUP(Bonos[[#This Row],[ISIN]],[2]bonos!$AG$2:$AG$220,[2]bonos!$H$2:$H$220)</f>
        <v>100.15</v>
      </c>
      <c r="J10" s="13">
        <f>_xlfn.XLOOKUP(Bonos[[#This Row],[ISIN]],[2]bonos!$AG$2:$AG$220,[2]bonos!$K$2:$K$220)</f>
        <v>4.9840141275835004</v>
      </c>
      <c r="K10" s="13">
        <f>_xlfn.XLOOKUP(Bonos[[#This Row],[ISIN]],[2]bonos!$AG$2:$AG$220,[2]bonos!$AP$2:$AP$220)</f>
        <v>88.034330463553005</v>
      </c>
      <c r="L10" s="13">
        <v>4.7781681020595004</v>
      </c>
      <c r="M10" s="14">
        <v>2000</v>
      </c>
      <c r="N10" s="15" t="s">
        <v>31</v>
      </c>
      <c r="O10" s="16">
        <v>750000000</v>
      </c>
      <c r="P10" s="17" t="s">
        <v>161</v>
      </c>
    </row>
    <row r="11" spans="1:16">
      <c r="A11" s="8" t="str">
        <f>+_xlfn.XLOOKUP($N11,'[1]Cbonds export 05.20.2025'!$K:$K,'[1]Cbonds export 05.20.2025'!$B:$B,1,0,1)</f>
        <v>Fluor</v>
      </c>
      <c r="B11" s="9" t="str">
        <f>+_xlfn.XLOOKUP($N11,'[1]Cbonds export 05.20.2025'!$K:$K,'[1]Cbonds export 05.20.2025'!$C:$C,1,0,1)</f>
        <v>Infrastructure and Special Construction</v>
      </c>
      <c r="C11" s="9" t="s">
        <v>32</v>
      </c>
      <c r="D11" s="9" t="s">
        <v>21</v>
      </c>
      <c r="E11" s="9" t="str">
        <f>+_xlfn.XLOOKUP($N11,'[1]Cbonds export 05.20.2025'!$K:$K,'[1]Cbonds export 05.20.2025'!$D:$D,1,0,1)</f>
        <v>Ba1/BB+/Withdrawn</v>
      </c>
      <c r="F11" s="10">
        <f>+_xlfn.XLOOKUP($N11,'[1]Cbonds export 05.20.2025'!$K:$K,'[1]Cbonds export 05.20.2025'!$F:$F,1,0,1)</f>
        <v>4.2500000000000003E-2</v>
      </c>
      <c r="G11" s="11" t="str">
        <f>+_xlfn.XLOOKUP($N11,'[1]Cbonds export 05.20.2025'!$K:$K,'[1]Cbonds export 05.20.2025'!$G:$G,1,0,1)</f>
        <v>15/09/2028</v>
      </c>
      <c r="H11" s="12">
        <f t="shared" ref="H11:H64" si="0">YEAR(G11)</f>
        <v>2028</v>
      </c>
      <c r="I11" s="13">
        <f>_xlfn.XLOOKUP(Bonos[[#This Row],[ISIN]],[2]bonos!$AG$2:$AG$220,[2]bonos!$H$2:$H$220)</f>
        <v>98.224999999999994</v>
      </c>
      <c r="J11" s="13">
        <f>_xlfn.XLOOKUP(Bonos[[#This Row],[ISIN]],[2]bonos!$AG$2:$AG$220,[2]bonos!$K$2:$K$220)</f>
        <v>5.1978025665273</v>
      </c>
      <c r="K11" s="13">
        <f>_xlfn.XLOOKUP(Bonos[[#This Row],[ISIN]],[2]bonos!$AG$2:$AG$220,[2]bonos!$AP$2:$AP$220)</f>
        <v>109.54403223188</v>
      </c>
      <c r="L11" s="13">
        <v>4.7753751860465004</v>
      </c>
      <c r="M11" s="14">
        <f>+_xlfn.XLOOKUP($N11,'[1]Cbonds export 05.20.2025'!$K:$K,'[1]Cbonds export 05.20.2025'!$J:$J,1,0,1)</f>
        <v>2000</v>
      </c>
      <c r="N11" s="15" t="s">
        <v>33</v>
      </c>
      <c r="O11" s="16">
        <v>600000000</v>
      </c>
      <c r="P11" s="17" t="s">
        <v>161</v>
      </c>
    </row>
    <row r="12" spans="1:16">
      <c r="A12" s="21" t="str">
        <f>+_xlfn.XLOOKUP($N12,'[1]Cbonds export 05.20.2025'!$K:$K,'[1]Cbonds export 05.20.2025'!$B:$B,1,0,1)</f>
        <v>Xerox Holdings Corporation</v>
      </c>
      <c r="B12" s="22" t="str">
        <f>+_xlfn.XLOOKUP($N12,'[1]Cbonds export 05.20.2025'!$K:$K,'[1]Cbonds export 05.20.2025'!$C:$C,1,0,1)</f>
        <v>IT equipment</v>
      </c>
      <c r="C12" s="22" t="s">
        <v>162</v>
      </c>
      <c r="D12" s="22" t="s">
        <v>21</v>
      </c>
      <c r="E12" s="22" t="s">
        <v>163</v>
      </c>
      <c r="F12" s="23">
        <f>+_xlfn.XLOOKUP($N12,'[1]Cbonds export 05.20.2025'!$K:$K,'[1]Cbonds export 05.20.2025'!$F:$F,1,0,1)</f>
        <v>5.5E-2</v>
      </c>
      <c r="G12" s="24" t="str">
        <f>+_xlfn.XLOOKUP($N12,'[1]Cbonds export 05.20.2025'!$K:$K,'[1]Cbonds export 05.20.2025'!$G:$G,1,0,1)</f>
        <v>15/08/2028</v>
      </c>
      <c r="H12" s="25">
        <f t="shared" si="0"/>
        <v>2028</v>
      </c>
      <c r="I12" s="26">
        <f>_xlfn.XLOOKUP(Bonos[[#This Row],[ISIN]],[2]bonos!$AG$2:$AG$220,[2]bonos!$H$2:$H$220)</f>
        <v>58.77</v>
      </c>
      <c r="J12" s="26">
        <f>_xlfn.XLOOKUP(Bonos[[#This Row],[ISIN]],[2]bonos!$AG$2:$AG$220,[2]bonos!$K$2:$K$220)</f>
        <v>38.394083349233</v>
      </c>
      <c r="K12" s="26">
        <f>_xlfn.XLOOKUP(Bonos[[#This Row],[ISIN]],[2]bonos!$AG$2:$AG$220,[2]bonos!$AP$2:$AP$220)</f>
        <v>3429.9292351184999</v>
      </c>
      <c r="L12" s="26">
        <v>37.372258361656002</v>
      </c>
      <c r="M12" s="27">
        <f>+_xlfn.XLOOKUP($N12,'[1]Cbonds export 05.20.2025'!$K:$K,'[1]Cbonds export 05.20.2025'!$J:$J,1,0,1)</f>
        <v>2000</v>
      </c>
      <c r="N12" s="28" t="s">
        <v>164</v>
      </c>
      <c r="O12" s="29">
        <v>750000000</v>
      </c>
      <c r="P12" s="17" t="s">
        <v>165</v>
      </c>
    </row>
    <row r="13" spans="1:16">
      <c r="A13" s="21" t="str">
        <f>+_xlfn.XLOOKUP($N13,'[1]Cbonds export 05.20.2025'!$K:$K,'[1]Cbonds export 05.20.2025'!$B:$B,1,0,1)</f>
        <v>Braskem</v>
      </c>
      <c r="B13" s="22" t="str">
        <f>+_xlfn.XLOOKUP($N13,'[1]Cbonds export 05.20.2025'!$K:$K,'[1]Cbonds export 05.20.2025'!$C:$C,1,0,1)</f>
        <v>Chemical and petrochemical industry</v>
      </c>
      <c r="C13" s="22" t="s">
        <v>166</v>
      </c>
      <c r="D13" s="22" t="s">
        <v>21</v>
      </c>
      <c r="E13" s="22" t="s">
        <v>167</v>
      </c>
      <c r="F13" s="23">
        <f>+_xlfn.XLOOKUP($N13,'[1]Cbonds export 05.20.2025'!$K:$K,'[1]Cbonds export 05.20.2025'!$F:$F,1,0,1)</f>
        <v>4.4999999999999998E-2</v>
      </c>
      <c r="G13" s="24">
        <f>+_xlfn.XLOOKUP($N13,'[1]Cbonds export 05.20.2025'!$K:$K,'[1]Cbonds export 05.20.2025'!$G:$G,1,0,1)</f>
        <v>47027</v>
      </c>
      <c r="H13" s="25">
        <f t="shared" si="0"/>
        <v>2028</v>
      </c>
      <c r="I13" s="26">
        <f>_xlfn.XLOOKUP(Bonos[[#This Row],[ISIN]],[2]bonos!$AG$2:$AG$220,[2]bonos!$H$2:$H$220)</f>
        <v>53.604999999999997</v>
      </c>
      <c r="J13" s="26">
        <f>_xlfn.XLOOKUP(Bonos[[#This Row],[ISIN]],[2]bonos!$AG$2:$AG$220,[2]bonos!$K$2:$K$220)</f>
        <v>61.799509103391003</v>
      </c>
      <c r="K13" s="26">
        <f>_xlfn.XLOOKUP(Bonos[[#This Row],[ISIN]],[2]bonos!$AG$2:$AG$220,[2]bonos!$AP$2:$AP$220)</f>
        <v>5772.3409564223002</v>
      </c>
      <c r="L13" s="26">
        <v>47.992506623183999</v>
      </c>
      <c r="M13" s="27">
        <f>+_xlfn.XLOOKUP($N13,'[1]Cbonds export 05.20.2025'!$K:$K,'[1]Cbonds export 05.20.2025'!$J:$J,1,0,1)</f>
        <v>200000</v>
      </c>
      <c r="N13" s="28" t="s">
        <v>168</v>
      </c>
      <c r="O13" s="29">
        <v>1250000000</v>
      </c>
      <c r="P13" s="17" t="s">
        <v>165</v>
      </c>
    </row>
    <row r="14" spans="1:16">
      <c r="A14" s="8" t="s">
        <v>135</v>
      </c>
      <c r="B14" s="9" t="s">
        <v>34</v>
      </c>
      <c r="C14" s="9" t="str">
        <f>+A14</f>
        <v>Nordstrom</v>
      </c>
      <c r="D14" s="9" t="s">
        <v>21</v>
      </c>
      <c r="E14" s="9" t="s">
        <v>35</v>
      </c>
      <c r="F14" s="10">
        <v>6.9500000000000006E-2</v>
      </c>
      <c r="G14" s="11">
        <v>46827</v>
      </c>
      <c r="H14" s="12">
        <f t="shared" si="0"/>
        <v>2028</v>
      </c>
      <c r="I14" s="13">
        <f>_xlfn.XLOOKUP(Bonos[[#This Row],[ISIN]],[2]bonos!$AG$2:$AG$220,[2]bonos!$H$2:$H$220)</f>
        <v>102.605</v>
      </c>
      <c r="J14" s="13">
        <f>_xlfn.XLOOKUP(Bonos[[#This Row],[ISIN]],[2]bonos!$AG$2:$AG$220,[2]bonos!$K$2:$K$220)</f>
        <v>5.3389997638258997</v>
      </c>
      <c r="K14" s="13">
        <f>_xlfn.XLOOKUP(Bonos[[#This Row],[ISIN]],[2]bonos!$AG$2:$AG$220,[2]bonos!$AP$2:$AP$220)</f>
        <v>125.77745101456</v>
      </c>
      <c r="L14" s="13">
        <v>4.9123728446805996</v>
      </c>
      <c r="M14" s="14">
        <v>1000</v>
      </c>
      <c r="N14" s="15" t="s">
        <v>36</v>
      </c>
      <c r="O14" s="16">
        <v>300000000</v>
      </c>
      <c r="P14" s="17" t="s">
        <v>161</v>
      </c>
    </row>
    <row r="15" spans="1:16">
      <c r="A15" s="21" t="s">
        <v>169</v>
      </c>
      <c r="B15" s="22" t="s">
        <v>170</v>
      </c>
      <c r="C15" s="22" t="str">
        <f>+A15</f>
        <v>Clearwater Paper</v>
      </c>
      <c r="D15" s="22" t="s">
        <v>21</v>
      </c>
      <c r="E15" s="22" t="s">
        <v>171</v>
      </c>
      <c r="F15" s="23">
        <v>4.7500000000000001E-2</v>
      </c>
      <c r="G15" s="24">
        <v>46980</v>
      </c>
      <c r="H15" s="25">
        <f t="shared" si="0"/>
        <v>2028</v>
      </c>
      <c r="I15" s="26">
        <f>_xlfn.XLOOKUP(Bonos[[#This Row],[ISIN]],[2]bonos!$AG$2:$AG$220,[2]bonos!$H$2:$H$220)</f>
        <v>84.625</v>
      </c>
      <c r="J15" s="26">
        <f>_xlfn.XLOOKUP(Bonos[[#This Row],[ISIN]],[2]bonos!$AG$2:$AG$220,[2]bonos!$K$2:$K$220)</f>
        <v>14.00107155779</v>
      </c>
      <c r="K15" s="26">
        <f>_xlfn.XLOOKUP(Bonos[[#This Row],[ISIN]],[2]bonos!$AG$2:$AG$220,[2]bonos!$AP$2:$AP$220)</f>
        <v>990.35448851802005</v>
      </c>
      <c r="L15" s="26">
        <v>15.600562809316999</v>
      </c>
      <c r="M15" s="27">
        <v>2000</v>
      </c>
      <c r="N15" s="28" t="s">
        <v>172</v>
      </c>
      <c r="O15" s="29">
        <v>275000000</v>
      </c>
      <c r="P15" s="17" t="s">
        <v>165</v>
      </c>
    </row>
    <row r="16" spans="1:16">
      <c r="A16" s="8" t="s">
        <v>145</v>
      </c>
      <c r="B16" s="9" t="s">
        <v>15</v>
      </c>
      <c r="C16" s="9" t="s">
        <v>16</v>
      </c>
      <c r="D16" s="9" t="s">
        <v>12</v>
      </c>
      <c r="E16" s="9" t="s">
        <v>17</v>
      </c>
      <c r="F16" s="10">
        <v>6.7979999999999999E-2</v>
      </c>
      <c r="G16" s="11">
        <v>47064</v>
      </c>
      <c r="H16" s="12">
        <f t="shared" si="0"/>
        <v>2028</v>
      </c>
      <c r="I16" s="13">
        <f>_xlfn.XLOOKUP(Bonos[[#This Row],[ISIN]],[2]bonos!$AG$2:$AG$220,[2]bonos!$H$2:$H$220)</f>
        <v>102.745</v>
      </c>
      <c r="J16" s="13">
        <f>_xlfn.XLOOKUP(Bonos[[#This Row],[ISIN]],[2]bonos!$AG$2:$AG$220,[2]bonos!$K$2:$K$220)</f>
        <v>5.5755940454813002</v>
      </c>
      <c r="K16" s="13">
        <f>_xlfn.XLOOKUP(Bonos[[#This Row],[ISIN]],[2]bonos!$AG$2:$AG$220,[2]bonos!$AP$2:$AP$220)</f>
        <v>146.90426497843001</v>
      </c>
      <c r="L16" s="13">
        <v>5.3738107752827</v>
      </c>
      <c r="M16" s="14">
        <v>200000</v>
      </c>
      <c r="N16" s="15" t="s">
        <v>37</v>
      </c>
      <c r="O16" s="16">
        <v>1500000000</v>
      </c>
      <c r="P16" s="17" t="s">
        <v>161</v>
      </c>
    </row>
    <row r="17" spans="1:16">
      <c r="A17" s="8" t="s">
        <v>20</v>
      </c>
      <c r="B17" s="9" t="s">
        <v>92</v>
      </c>
      <c r="C17" s="9" t="s">
        <v>20</v>
      </c>
      <c r="D17" s="9" t="s">
        <v>21</v>
      </c>
      <c r="E17" s="9" t="s">
        <v>90</v>
      </c>
      <c r="F17" s="10">
        <v>0.04</v>
      </c>
      <c r="G17" s="11">
        <v>46949</v>
      </c>
      <c r="H17" s="12">
        <v>2028</v>
      </c>
      <c r="I17" s="13">
        <f>_xlfn.XLOOKUP(Bonos[[#This Row],[ISIN]],[2]bonos!$AG$2:$AG$220,[2]bonos!$H$2:$H$220)</f>
        <v>97.27</v>
      </c>
      <c r="J17" s="13">
        <f>_xlfn.XLOOKUP(Bonos[[#This Row],[ISIN]],[2]bonos!$AG$2:$AG$220,[2]bonos!$K$2:$K$220)</f>
        <v>5.5494499521960998</v>
      </c>
      <c r="K17" s="13">
        <f>_xlfn.XLOOKUP(Bonos[[#This Row],[ISIN]],[2]bonos!$AG$2:$AG$220,[2]bonos!$AP$2:$AP$220)</f>
        <v>145.25790904621999</v>
      </c>
      <c r="L17" s="13">
        <v>5.4043003750673</v>
      </c>
      <c r="M17" s="14">
        <v>1000</v>
      </c>
      <c r="N17" s="15" t="s">
        <v>149</v>
      </c>
      <c r="O17" s="16">
        <v>2000000000</v>
      </c>
      <c r="P17" s="17" t="s">
        <v>161</v>
      </c>
    </row>
    <row r="18" spans="1:16">
      <c r="A18" s="8" t="s">
        <v>150</v>
      </c>
      <c r="B18" s="9" t="s">
        <v>134</v>
      </c>
      <c r="C18" s="9" t="s">
        <v>150</v>
      </c>
      <c r="D18" s="9" t="s">
        <v>21</v>
      </c>
      <c r="E18" s="9" t="s">
        <v>151</v>
      </c>
      <c r="F18" s="10">
        <v>5.7500000000000002E-2</v>
      </c>
      <c r="G18" s="11">
        <v>47072</v>
      </c>
      <c r="H18" s="12">
        <v>2028</v>
      </c>
      <c r="I18" s="13">
        <f>_xlfn.XLOOKUP(Bonos[[#This Row],[ISIN]],[2]bonos!$AG$2:$AG$220,[2]bonos!$H$2:$H$220)</f>
        <v>99.14</v>
      </c>
      <c r="J18" s="13">
        <f>_xlfn.XLOOKUP(Bonos[[#This Row],[ISIN]],[2]bonos!$AG$2:$AG$220,[2]bonos!$K$2:$K$220)</f>
        <v>6.2446701815574999</v>
      </c>
      <c r="K18" s="13">
        <f>_xlfn.XLOOKUP(Bonos[[#This Row],[ISIN]],[2]bonos!$AG$2:$AG$220,[2]bonos!$AP$2:$AP$220)</f>
        <v>213.61638444050001</v>
      </c>
      <c r="L18" s="13">
        <v>5.9208334278288</v>
      </c>
      <c r="M18" s="14">
        <v>1000</v>
      </c>
      <c r="N18" s="15" t="s">
        <v>152</v>
      </c>
      <c r="O18" s="16">
        <v>800000000</v>
      </c>
      <c r="P18" s="17" t="s">
        <v>161</v>
      </c>
    </row>
    <row r="19" spans="1:16">
      <c r="A19" s="8" t="s">
        <v>39</v>
      </c>
      <c r="B19" s="9" t="s">
        <v>38</v>
      </c>
      <c r="C19" s="9" t="s">
        <v>39</v>
      </c>
      <c r="D19" s="9" t="s">
        <v>21</v>
      </c>
      <c r="E19" s="9" t="s">
        <v>40</v>
      </c>
      <c r="F19" s="10">
        <v>4.3749999999999997E-2</v>
      </c>
      <c r="G19" s="11">
        <v>46919</v>
      </c>
      <c r="H19" s="12">
        <f t="shared" si="0"/>
        <v>2028</v>
      </c>
      <c r="I19" s="13">
        <f>_xlfn.XLOOKUP(Bonos[[#This Row],[ISIN]],[2]bonos!$AG$2:$AG$220,[2]bonos!$H$2:$H$220)</f>
        <v>98.375</v>
      </c>
      <c r="J19" s="13">
        <f>_xlfn.XLOOKUP(Bonos[[#This Row],[ISIN]],[2]bonos!$AG$2:$AG$220,[2]bonos!$K$2:$K$220)</f>
        <v>5.3547576737993001</v>
      </c>
      <c r="K19" s="13">
        <f>_xlfn.XLOOKUP(Bonos[[#This Row],[ISIN]],[2]bonos!$AG$2:$AG$220,[2]bonos!$AP$2:$AP$220)</f>
        <v>126.1745027602</v>
      </c>
      <c r="L19" s="13">
        <v>5.2324358555585997</v>
      </c>
      <c r="M19" s="14">
        <v>2000</v>
      </c>
      <c r="N19" s="15" t="s">
        <v>41</v>
      </c>
      <c r="O19" s="16">
        <v>800000000</v>
      </c>
      <c r="P19" s="17" t="s">
        <v>161</v>
      </c>
    </row>
    <row r="20" spans="1:16">
      <c r="A20" s="8" t="s">
        <v>136</v>
      </c>
      <c r="B20" s="9" t="s">
        <v>42</v>
      </c>
      <c r="C20" s="9" t="str">
        <f>+A20</f>
        <v>Ecopetrol</v>
      </c>
      <c r="D20" s="9" t="s">
        <v>21</v>
      </c>
      <c r="E20" s="9" t="s">
        <v>43</v>
      </c>
      <c r="F20" s="10">
        <v>8.6249999999999993E-2</v>
      </c>
      <c r="G20" s="11">
        <v>47137</v>
      </c>
      <c r="H20" s="12">
        <f t="shared" si="0"/>
        <v>2029</v>
      </c>
      <c r="I20" s="13">
        <f>_xlfn.XLOOKUP(Bonos[[#This Row],[ISIN]],[2]bonos!$AG$2:$AG$220,[2]bonos!$H$2:$H$220)</f>
        <v>106.017</v>
      </c>
      <c r="J20" s="13">
        <f>_xlfn.XLOOKUP(Bonos[[#This Row],[ISIN]],[2]bonos!$AG$2:$AG$220,[2]bonos!$K$2:$K$220)</f>
        <v>6.0768609608236996</v>
      </c>
      <c r="K20" s="13">
        <f>_xlfn.XLOOKUP(Bonos[[#This Row],[ISIN]],[2]bonos!$AG$2:$AG$220,[2]bonos!$AP$2:$AP$220)</f>
        <v>196.25440799008001</v>
      </c>
      <c r="L20" s="13">
        <v>6.0333288027999998</v>
      </c>
      <c r="M20" s="14">
        <v>1000</v>
      </c>
      <c r="N20" s="15" t="s">
        <v>44</v>
      </c>
      <c r="O20" s="16">
        <v>1200000000</v>
      </c>
      <c r="P20" s="17" t="s">
        <v>161</v>
      </c>
    </row>
    <row r="21" spans="1:16">
      <c r="A21" s="8" t="str">
        <f>+_xlfn.XLOOKUP($N21,'[1]Cbonds export 05.20.2025'!$K:$K,'[1]Cbonds export 05.20.2025'!$B:$B,1,0,1)</f>
        <v>Ally Financial</v>
      </c>
      <c r="B21" s="9" t="str">
        <f>+_xlfn.XLOOKUP($N21,'[1]Cbonds export 05.20.2025'!$K:$K,'[1]Cbonds export 05.20.2025'!$C:$C,1,0,1)</f>
        <v>Banks</v>
      </c>
      <c r="C21" s="9" t="s">
        <v>27</v>
      </c>
      <c r="D21" s="9" t="s">
        <v>12</v>
      </c>
      <c r="E21" s="9" t="str">
        <f>+_xlfn.XLOOKUP($N21,'[1]Cbonds export 05.20.2025'!$K:$K,'[1]Cbonds export 05.20.2025'!$D:$D,1,0,1)</f>
        <v>Baa3/BBB-/BBB-</v>
      </c>
      <c r="F21" s="10">
        <f>+_xlfn.XLOOKUP($N21,'[1]Cbonds export 05.20.2025'!$K:$K,'[1]Cbonds export 05.20.2025'!$F:$F,1,0,1)</f>
        <v>6.9919999999999996E-2</v>
      </c>
      <c r="G21" s="11" t="str">
        <f>+_xlfn.XLOOKUP($N21,'[1]Cbonds export 05.20.2025'!$K:$K,'[1]Cbonds export 05.20.2025'!$G:$G,1,0,1)</f>
        <v>13/06/2029</v>
      </c>
      <c r="H21" s="12">
        <f t="shared" si="0"/>
        <v>2029</v>
      </c>
      <c r="I21" s="13">
        <f>_xlfn.XLOOKUP(Bonos[[#This Row],[ISIN]],[2]bonos!$AG$2:$AG$220,[2]bonos!$H$2:$H$220)</f>
        <v>103.25</v>
      </c>
      <c r="J21" s="13">
        <f>_xlfn.XLOOKUP(Bonos[[#This Row],[ISIN]],[2]bonos!$AG$2:$AG$220,[2]bonos!$K$2:$K$220)</f>
        <v>5.2262981503403001</v>
      </c>
      <c r="K21" s="13">
        <f>_xlfn.XLOOKUP(Bonos[[#This Row],[ISIN]],[2]bonos!$AG$2:$AG$220,[2]bonos!$AP$2:$AP$220)</f>
        <v>113.49555342230001</v>
      </c>
      <c r="L21" s="13">
        <v>5.0119989796673998</v>
      </c>
      <c r="M21" s="14">
        <f>+_xlfn.XLOOKUP($N21,'[1]Cbonds export 05.20.2025'!$K:$K,'[1]Cbonds export 05.20.2025'!$J:$J,1,0,1)</f>
        <v>2000</v>
      </c>
      <c r="N21" s="15" t="s">
        <v>45</v>
      </c>
      <c r="O21" s="16">
        <v>750000000</v>
      </c>
      <c r="P21" s="17" t="s">
        <v>161</v>
      </c>
    </row>
    <row r="22" spans="1:16">
      <c r="A22" s="21" t="str">
        <f>+_xlfn.XLOOKUP($N22,'[1]Cbonds export 05.20.2025'!$K:$K,'[1]Cbonds export 05.20.2025'!$B:$B,1,0,1)</f>
        <v>Olin</v>
      </c>
      <c r="B22" s="22" t="str">
        <f>+_xlfn.XLOOKUP($N22,'[1]Cbonds export 05.20.2025'!$K:$K,'[1]Cbonds export 05.20.2025'!$C:$C,1,0,1)</f>
        <v>Chemical and petrochemical industry</v>
      </c>
      <c r="C22" s="22" t="s">
        <v>46</v>
      </c>
      <c r="D22" s="22" t="s">
        <v>21</v>
      </c>
      <c r="E22" s="22" t="s">
        <v>47</v>
      </c>
      <c r="F22" s="23">
        <f>+_xlfn.XLOOKUP($N22,'[1]Cbonds export 05.20.2025'!$K:$K,'[1]Cbonds export 05.20.2025'!$F:$F,1,0,1)</f>
        <v>5.6250000000000001E-2</v>
      </c>
      <c r="G22" s="24">
        <f>+_xlfn.XLOOKUP($N22,'[1]Cbonds export 05.20.2025'!$K:$K,'[1]Cbonds export 05.20.2025'!$G:$G,1,0,1)</f>
        <v>47126</v>
      </c>
      <c r="H22" s="25">
        <f t="shared" si="0"/>
        <v>2029</v>
      </c>
      <c r="I22" s="26">
        <f>_xlfn.XLOOKUP(Bonos[[#This Row],[ISIN]],[2]bonos!$AG$2:$AG$220,[2]bonos!$H$2:$H$220)</f>
        <v>99.34</v>
      </c>
      <c r="J22" s="26">
        <f>_xlfn.XLOOKUP(Bonos[[#This Row],[ISIN]],[2]bonos!$AG$2:$AG$220,[2]bonos!$K$2:$K$220)</f>
        <v>5.9529012337668004</v>
      </c>
      <c r="K22" s="26">
        <f>_xlfn.XLOOKUP(Bonos[[#This Row],[ISIN]],[2]bonos!$AG$2:$AG$220,[2]bonos!$AP$2:$AP$220)</f>
        <v>181.60886812977</v>
      </c>
      <c r="L22" s="26">
        <v>5.9098961663083003</v>
      </c>
      <c r="M22" s="27">
        <f>+_xlfn.XLOOKUP($N22,'[1]Cbonds export 05.20.2025'!$K:$K,'[1]Cbonds export 05.20.2025'!$J:$J,1,0,1)</f>
        <v>1000</v>
      </c>
      <c r="N22" s="28" t="s">
        <v>48</v>
      </c>
      <c r="O22" s="29">
        <v>750000000</v>
      </c>
      <c r="P22" s="17" t="s">
        <v>173</v>
      </c>
    </row>
    <row r="23" spans="1:16">
      <c r="A23" s="21" t="str">
        <f>+_xlfn.XLOOKUP($N23,'[1]Cbonds export 05.20.2025'!$K:$K,'[1]Cbonds export 05.20.2025'!$B:$B,1,0,1)</f>
        <v>FMC</v>
      </c>
      <c r="B23" s="22" t="str">
        <f>+_xlfn.XLOOKUP($N23,'[1]Cbonds export 05.20.2025'!$K:$K,'[1]Cbonds export 05.20.2025'!$C:$C,1,0,1)</f>
        <v>Fertilizers</v>
      </c>
      <c r="C23" s="22" t="s">
        <v>49</v>
      </c>
      <c r="D23" s="22" t="s">
        <v>12</v>
      </c>
      <c r="E23" s="22" t="s">
        <v>50</v>
      </c>
      <c r="F23" s="23">
        <f>+_xlfn.XLOOKUP($N23,'[1]Cbonds export 05.20.2025'!$K:$K,'[1]Cbonds export 05.20.2025'!$F:$F,1,0,1)</f>
        <v>3.4500000000000003E-2</v>
      </c>
      <c r="G23" s="24">
        <f>+_xlfn.XLOOKUP($N23,'[1]Cbonds export 05.20.2025'!$K:$K,'[1]Cbonds export 05.20.2025'!$G:$G,1,0,1)</f>
        <v>47128</v>
      </c>
      <c r="H23" s="25">
        <f t="shared" si="0"/>
        <v>2029</v>
      </c>
      <c r="I23" s="26">
        <f>_xlfn.XLOOKUP(Bonos[[#This Row],[ISIN]],[2]bonos!$AG$2:$AG$220,[2]bonos!$H$2:$H$220)</f>
        <v>92.4816</v>
      </c>
      <c r="J23" s="26">
        <f>_xlfn.XLOOKUP(Bonos[[#This Row],[ISIN]],[2]bonos!$AG$2:$AG$220,[2]bonos!$K$2:$K$220)</f>
        <v>6.1691679685506999</v>
      </c>
      <c r="K23" s="26">
        <f>_xlfn.XLOOKUP(Bonos[[#This Row],[ISIN]],[2]bonos!$AG$2:$AG$220,[2]bonos!$AP$2:$AP$220)</f>
        <v>201.85328135754</v>
      </c>
      <c r="L23" s="26">
        <v>5.9164627873917004</v>
      </c>
      <c r="M23" s="27">
        <f>+_xlfn.XLOOKUP($N23,'[1]Cbonds export 05.20.2025'!$K:$K,'[1]Cbonds export 05.20.2025'!$J:$J,1,0,1)</f>
        <v>2000</v>
      </c>
      <c r="N23" s="28" t="s">
        <v>51</v>
      </c>
      <c r="O23" s="29">
        <v>500000000</v>
      </c>
      <c r="P23" s="17" t="s">
        <v>173</v>
      </c>
    </row>
    <row r="24" spans="1:16">
      <c r="A24" s="8" t="str">
        <f>+_xlfn.XLOOKUP($N24,'[1]Cbonds export 05.20.2025'!$K:$K,'[1]Cbonds export 05.20.2025'!$B:$B,1,0,1)</f>
        <v>Methanex</v>
      </c>
      <c r="B24" s="9" t="str">
        <f>+_xlfn.XLOOKUP($N24,'[1]Cbonds export 05.20.2025'!$K:$K,'[1]Cbonds export 05.20.2025'!$C:$C,1,0,1)</f>
        <v>Chemical and petrochemical industry</v>
      </c>
      <c r="C24" s="9" t="s">
        <v>52</v>
      </c>
      <c r="D24" s="9" t="s">
        <v>21</v>
      </c>
      <c r="E24" s="9" t="s">
        <v>53</v>
      </c>
      <c r="F24" s="10">
        <f>+_xlfn.XLOOKUP($N24,'[1]Cbonds export 05.20.2025'!$K:$K,'[1]Cbonds export 05.20.2025'!$F:$F,1,0,1)</f>
        <v>5.2499999999999998E-2</v>
      </c>
      <c r="G24" s="11" t="str">
        <f>+_xlfn.XLOOKUP($N24,'[1]Cbonds export 05.20.2025'!$K:$K,'[1]Cbonds export 05.20.2025'!$G:$G,1,0,1)</f>
        <v>15/12/2029</v>
      </c>
      <c r="H24" s="12">
        <f t="shared" si="0"/>
        <v>2029</v>
      </c>
      <c r="I24" s="13">
        <f>_xlfn.XLOOKUP(Bonos[[#This Row],[ISIN]],[2]bonos!$AG$2:$AG$220,[2]bonos!$H$2:$H$220)</f>
        <v>99.334999999999994</v>
      </c>
      <c r="J24" s="13">
        <f>_xlfn.XLOOKUP(Bonos[[#This Row],[ISIN]],[2]bonos!$AG$2:$AG$220,[2]bonos!$K$2:$K$220)</f>
        <v>5.5401109236627999</v>
      </c>
      <c r="K24" s="13">
        <f>_xlfn.XLOOKUP(Bonos[[#This Row],[ISIN]],[2]bonos!$AG$2:$AG$220,[2]bonos!$AP$2:$AP$220)</f>
        <v>138.23995836749</v>
      </c>
      <c r="L24" s="13">
        <v>5.4383914326443996</v>
      </c>
      <c r="M24" s="14">
        <f>+_xlfn.XLOOKUP($N24,'[1]Cbonds export 05.20.2025'!$K:$K,'[1]Cbonds export 05.20.2025'!$J:$J,1,0,1)</f>
        <v>2000</v>
      </c>
      <c r="N24" s="15" t="s">
        <v>54</v>
      </c>
      <c r="O24" s="16">
        <v>700000000</v>
      </c>
      <c r="P24" s="17" t="s">
        <v>161</v>
      </c>
    </row>
    <row r="25" spans="1:16">
      <c r="A25" s="19" t="str">
        <f>+_xlfn.XLOOKUP($N25,'[1]Cbonds export 05.20.2025'!$K:$K,'[1]Cbonds export 05.20.2025'!$B:$B,1,0,1)</f>
        <v>Eastman Chemical</v>
      </c>
      <c r="B25" s="20" t="str">
        <f>+_xlfn.XLOOKUP($N25,'[1]Cbonds export 05.20.2025'!$K:$K,'[1]Cbonds export 05.20.2025'!$C:$C,1,0,1)</f>
        <v>Chemical and petrochemical industry</v>
      </c>
      <c r="C25" s="9" t="s">
        <v>25</v>
      </c>
      <c r="D25" s="9" t="s">
        <v>12</v>
      </c>
      <c r="E25" s="9" t="str">
        <f>+_xlfn.XLOOKUP($N25,'[1]Cbonds export 05.20.2025'!$K:$K,'[1]Cbonds export 05.20.2025'!$D:$D,1,0,1)</f>
        <v>Baa2/BBB/Withdrawn</v>
      </c>
      <c r="F25" s="10">
        <f>+_xlfn.XLOOKUP($N25,'[1]Cbonds export 05.20.2025'!$K:$K,'[1]Cbonds export 05.20.2025'!$F:$F,1,0,1)</f>
        <v>0.05</v>
      </c>
      <c r="G25" s="11">
        <f>+_xlfn.XLOOKUP($N25,'[1]Cbonds export 05.20.2025'!$K:$K,'[1]Cbonds export 05.20.2025'!$G:$G,1,0,1)</f>
        <v>47126</v>
      </c>
      <c r="H25" s="12">
        <f t="shared" si="0"/>
        <v>2029</v>
      </c>
      <c r="I25" s="13">
        <f>_xlfn.XLOOKUP(Bonos[[#This Row],[ISIN]],[2]bonos!$AG$2:$AG$220,[2]bonos!$H$2:$H$220)</f>
        <v>99.944999999999993</v>
      </c>
      <c r="J25" s="13">
        <f>_xlfn.XLOOKUP(Bonos[[#This Row],[ISIN]],[2]bonos!$AG$2:$AG$220,[2]bonos!$K$2:$K$220)</f>
        <v>5.0823082063419003</v>
      </c>
      <c r="K25" s="13">
        <f>_xlfn.XLOOKUP(Bonos[[#This Row],[ISIN]],[2]bonos!$AG$2:$AG$220,[2]bonos!$AP$2:$AP$220)</f>
        <v>94.394347920116005</v>
      </c>
      <c r="L25" s="13">
        <v>4.8633165071222004</v>
      </c>
      <c r="M25" s="14">
        <f>+_xlfn.XLOOKUP($N25,'[1]Cbonds export 05.20.2025'!$K:$K,'[1]Cbonds export 05.20.2025'!$J:$J,1,0,1)</f>
        <v>2000</v>
      </c>
      <c r="N25" s="15" t="s">
        <v>55</v>
      </c>
      <c r="O25" s="16">
        <v>750000000</v>
      </c>
      <c r="P25" s="17" t="s">
        <v>161</v>
      </c>
    </row>
    <row r="26" spans="1:16">
      <c r="A26" s="8" t="s">
        <v>137</v>
      </c>
      <c r="B26" s="9" t="s">
        <v>56</v>
      </c>
      <c r="C26" s="9" t="str">
        <f>+A26</f>
        <v>Mattel</v>
      </c>
      <c r="D26" s="9" t="s">
        <v>12</v>
      </c>
      <c r="E26" s="9" t="s">
        <v>57</v>
      </c>
      <c r="F26" s="10">
        <v>3.7499999999999999E-2</v>
      </c>
      <c r="G26" s="11">
        <v>47209</v>
      </c>
      <c r="H26" s="12">
        <f t="shared" si="0"/>
        <v>2029</v>
      </c>
      <c r="I26" s="13">
        <f>_xlfn.XLOOKUP(Bonos[[#This Row],[ISIN]],[2]bonos!$AG$2:$AG$220,[2]bonos!$H$2:$H$220)</f>
        <v>96.47</v>
      </c>
      <c r="J26" s="13">
        <f>_xlfn.XLOOKUP(Bonos[[#This Row],[ISIN]],[2]bonos!$AG$2:$AG$220,[2]bonos!$K$2:$K$220)</f>
        <v>5.2374920160164997</v>
      </c>
      <c r="K26" s="13">
        <f>_xlfn.XLOOKUP(Bonos[[#This Row],[ISIN]],[2]bonos!$AG$2:$AG$220,[2]bonos!$AP$2:$AP$220)</f>
        <v>111.06905121094999</v>
      </c>
      <c r="L26" s="13">
        <v>4.9660398867562003</v>
      </c>
      <c r="M26" s="14">
        <v>1000</v>
      </c>
      <c r="N26" s="15" t="s">
        <v>58</v>
      </c>
      <c r="O26" s="16">
        <v>600000000</v>
      </c>
      <c r="P26" s="17" t="s">
        <v>161</v>
      </c>
    </row>
    <row r="27" spans="1:16">
      <c r="A27" s="8" t="s">
        <v>150</v>
      </c>
      <c r="B27" s="9" t="s">
        <v>134</v>
      </c>
      <c r="C27" s="9" t="s">
        <v>150</v>
      </c>
      <c r="D27" s="9" t="s">
        <v>21</v>
      </c>
      <c r="E27" s="9" t="s">
        <v>151</v>
      </c>
      <c r="F27" s="10">
        <v>4.5999999999999999E-2</v>
      </c>
      <c r="G27" s="11">
        <v>47437</v>
      </c>
      <c r="H27" s="12">
        <v>2029</v>
      </c>
      <c r="I27" s="13">
        <f>_xlfn.XLOOKUP(Bonos[[#This Row],[ISIN]],[2]bonos!$AG$2:$AG$220,[2]bonos!$H$2:$H$220)</f>
        <v>94.405000000000001</v>
      </c>
      <c r="J27" s="13">
        <f>_xlfn.XLOOKUP(Bonos[[#This Row],[ISIN]],[2]bonos!$AG$2:$AG$220,[2]bonos!$K$2:$K$220)</f>
        <v>6.6349128086422002</v>
      </c>
      <c r="K27" s="13">
        <f>_xlfn.XLOOKUP(Bonos[[#This Row],[ISIN]],[2]bonos!$AG$2:$AG$220,[2]bonos!$AP$2:$AP$220)</f>
        <v>248.06042214619001</v>
      </c>
      <c r="L27" s="13">
        <v>6.2886966914741</v>
      </c>
      <c r="M27" s="14">
        <v>1000</v>
      </c>
      <c r="N27" s="15" t="s">
        <v>153</v>
      </c>
      <c r="O27" s="16">
        <v>650000000</v>
      </c>
      <c r="P27" s="17" t="s">
        <v>161</v>
      </c>
    </row>
    <row r="28" spans="1:16">
      <c r="A28" s="8" t="s">
        <v>60</v>
      </c>
      <c r="B28" s="9" t="s">
        <v>59</v>
      </c>
      <c r="C28" s="9" t="s">
        <v>60</v>
      </c>
      <c r="D28" s="9" t="s">
        <v>12</v>
      </c>
      <c r="E28" s="9" t="s">
        <v>61</v>
      </c>
      <c r="F28" s="10">
        <v>5.9499999999999997E-2</v>
      </c>
      <c r="G28" s="11">
        <v>47314</v>
      </c>
      <c r="H28" s="12">
        <f t="shared" si="0"/>
        <v>2029</v>
      </c>
      <c r="I28" s="13">
        <f>_xlfn.XLOOKUP(Bonos[[#This Row],[ISIN]],[2]bonos!$AG$2:$AG$220,[2]bonos!$H$2:$H$220)</f>
        <v>100.52500000000001</v>
      </c>
      <c r="J28" s="13">
        <f>_xlfn.XLOOKUP(Bonos[[#This Row],[ISIN]],[2]bonos!$AG$2:$AG$220,[2]bonos!$K$2:$K$220)</f>
        <v>5.8378605733628</v>
      </c>
      <c r="K28" s="13">
        <f>_xlfn.XLOOKUP(Bonos[[#This Row],[ISIN]],[2]bonos!$AG$2:$AG$220,[2]bonos!$AP$2:$AP$220)</f>
        <v>169.98240628127999</v>
      </c>
      <c r="L28" s="13">
        <v>5.666805627924</v>
      </c>
      <c r="M28" s="14">
        <v>2000</v>
      </c>
      <c r="N28" s="15" t="s">
        <v>62</v>
      </c>
      <c r="O28" s="16">
        <v>850000000</v>
      </c>
      <c r="P28" s="17" t="s">
        <v>161</v>
      </c>
    </row>
    <row r="29" spans="1:16">
      <c r="A29" s="8" t="s">
        <v>29</v>
      </c>
      <c r="B29" s="9" t="s">
        <v>15</v>
      </c>
      <c r="C29" s="9" t="s">
        <v>29</v>
      </c>
      <c r="D29" s="9" t="s">
        <v>12</v>
      </c>
      <c r="E29" s="9" t="s">
        <v>63</v>
      </c>
      <c r="F29" s="10">
        <v>5.3999999999999999E-2</v>
      </c>
      <c r="G29" s="11">
        <v>47437</v>
      </c>
      <c r="H29" s="12">
        <f t="shared" si="0"/>
        <v>2029</v>
      </c>
      <c r="I29" s="13">
        <f>_xlfn.XLOOKUP(Bonos[[#This Row],[ISIN]],[2]bonos!$AG$2:$AG$220,[2]bonos!$H$2:$H$220)</f>
        <v>101.13500000000001</v>
      </c>
      <c r="J29" s="13">
        <f>_xlfn.XLOOKUP(Bonos[[#This Row],[ISIN]],[2]bonos!$AG$2:$AG$220,[2]bonos!$K$2:$K$220)</f>
        <v>5.0747627537484998</v>
      </c>
      <c r="K29" s="13">
        <f>_xlfn.XLOOKUP(Bonos[[#This Row],[ISIN]],[2]bonos!$AG$2:$AG$220,[2]bonos!$AP$2:$AP$220)</f>
        <v>92.635129430480006</v>
      </c>
      <c r="L29" s="13">
        <v>4.8640697328705</v>
      </c>
      <c r="M29" s="14">
        <v>2000</v>
      </c>
      <c r="N29" s="15" t="s">
        <v>64</v>
      </c>
      <c r="O29" s="16">
        <v>1000000000</v>
      </c>
      <c r="P29" s="17" t="s">
        <v>161</v>
      </c>
    </row>
    <row r="30" spans="1:16">
      <c r="A30" s="30" t="s">
        <v>174</v>
      </c>
      <c r="B30" s="31" t="s">
        <v>38</v>
      </c>
      <c r="C30" s="31" t="s">
        <v>174</v>
      </c>
      <c r="D30" s="22" t="s">
        <v>21</v>
      </c>
      <c r="E30" s="31" t="s">
        <v>43</v>
      </c>
      <c r="F30" s="23">
        <v>4.6249999999999999E-2</v>
      </c>
      <c r="G30" s="24">
        <v>47489</v>
      </c>
      <c r="H30" s="25">
        <f t="shared" si="0"/>
        <v>2030</v>
      </c>
      <c r="I30" s="26">
        <f>_xlfn.XLOOKUP(Bonos[[#This Row],[ISIN]],[2]bonos!$AG$2:$AG$220,[2]bonos!$H$2:$H$220)</f>
        <v>96.625</v>
      </c>
      <c r="J30" s="26">
        <f>_xlfn.XLOOKUP(Bonos[[#This Row],[ISIN]],[2]bonos!$AG$2:$AG$220,[2]bonos!$K$2:$K$220)</f>
        <v>5.6884236132800998</v>
      </c>
      <c r="K30" s="26">
        <f>_xlfn.XLOOKUP(Bonos[[#This Row],[ISIN]],[2]bonos!$AG$2:$AG$220,[2]bonos!$AP$2:$AP$220)</f>
        <v>150.74440510137001</v>
      </c>
      <c r="L30" s="26">
        <v>5.5630820350621999</v>
      </c>
      <c r="M30" s="27">
        <v>1000</v>
      </c>
      <c r="N30" s="28" t="s">
        <v>175</v>
      </c>
      <c r="O30" s="29">
        <v>2750000000</v>
      </c>
      <c r="P30" s="17" t="s">
        <v>165</v>
      </c>
    </row>
    <row r="31" spans="1:16">
      <c r="A31" s="30" t="str">
        <f>+_xlfn.XLOOKUP($N31,'[1]Cbonds export 05.20.2025'!$K:$K,'[1]Cbonds export 05.20.2025'!$B:$B,1,0,1)</f>
        <v>Olin</v>
      </c>
      <c r="B31" s="31" t="str">
        <f>+_xlfn.XLOOKUP($N31,'[1]Cbonds export 05.20.2025'!$K:$K,'[1]Cbonds export 05.20.2025'!$C:$C,1,0,1)</f>
        <v>Chemical and petrochemical industry</v>
      </c>
      <c r="C31" s="31" t="s">
        <v>46</v>
      </c>
      <c r="D31" s="22" t="s">
        <v>21</v>
      </c>
      <c r="E31" s="31" t="s">
        <v>65</v>
      </c>
      <c r="F31" s="23">
        <f>+_xlfn.XLOOKUP($N31,'[1]Cbonds export 05.20.2025'!$K:$K,'[1]Cbonds export 05.20.2025'!$F:$F,1,0,1)</f>
        <v>0.05</v>
      </c>
      <c r="G31" s="24">
        <f>+_xlfn.XLOOKUP($N31,'[1]Cbonds export 05.20.2025'!$K:$K,'[1]Cbonds export 05.20.2025'!$G:$G,1,0,1)</f>
        <v>47485</v>
      </c>
      <c r="H31" s="25">
        <f t="shared" si="0"/>
        <v>2030</v>
      </c>
      <c r="I31" s="26">
        <f>_xlfn.XLOOKUP(Bonos[[#This Row],[ISIN]],[2]bonos!$AG$2:$AG$220,[2]bonos!$H$2:$H$220)</f>
        <v>97.375</v>
      </c>
      <c r="J31" s="26">
        <f>_xlfn.XLOOKUP(Bonos[[#This Row],[ISIN]],[2]bonos!$AG$2:$AG$220,[2]bonos!$K$2:$K$220)</f>
        <v>5.9198386169269996</v>
      </c>
      <c r="K31" s="26">
        <f>_xlfn.XLOOKUP(Bonos[[#This Row],[ISIN]],[2]bonos!$AG$2:$AG$220,[2]bonos!$AP$2:$AP$220)</f>
        <v>175.90783354633001</v>
      </c>
      <c r="L31" s="26">
        <v>5.8680201805944998</v>
      </c>
      <c r="M31" s="27">
        <f>+_xlfn.XLOOKUP($N31,'[1]Cbonds export 05.20.2025'!$K:$K,'[1]Cbonds export 05.20.2025'!$J:$J,1,0,1)</f>
        <v>1000</v>
      </c>
      <c r="N31" s="28" t="s">
        <v>66</v>
      </c>
      <c r="O31" s="29">
        <v>550000000</v>
      </c>
      <c r="P31" s="17" t="s">
        <v>173</v>
      </c>
    </row>
    <row r="32" spans="1:16">
      <c r="A32" s="8" t="s">
        <v>39</v>
      </c>
      <c r="B32" s="9" t="s">
        <v>38</v>
      </c>
      <c r="C32" s="9" t="s">
        <v>39</v>
      </c>
      <c r="D32" s="9" t="s">
        <v>21</v>
      </c>
      <c r="E32" s="20" t="s">
        <v>40</v>
      </c>
      <c r="F32" s="10">
        <v>3.875E-2</v>
      </c>
      <c r="G32" s="11">
        <v>47802</v>
      </c>
      <c r="H32" s="12">
        <f t="shared" si="0"/>
        <v>2030</v>
      </c>
      <c r="I32" s="13">
        <f>_xlfn.XLOOKUP(Bonos[[#This Row],[ISIN]],[2]bonos!$AG$2:$AG$220,[2]bonos!$H$2:$H$220)</f>
        <v>92.135000000000005</v>
      </c>
      <c r="J32" s="13">
        <f>_xlfn.XLOOKUP(Bonos[[#This Row],[ISIN]],[2]bonos!$AG$2:$AG$220,[2]bonos!$K$2:$K$220)</f>
        <v>6.0583846882100998</v>
      </c>
      <c r="K32" s="13">
        <f>_xlfn.XLOOKUP(Bonos[[#This Row],[ISIN]],[2]bonos!$AG$2:$AG$220,[2]bonos!$AP$2:$AP$220)</f>
        <v>185.24321054836</v>
      </c>
      <c r="L32" s="13">
        <v>5.7805265387676004</v>
      </c>
      <c r="M32" s="14">
        <v>2000</v>
      </c>
      <c r="N32" s="15" t="s">
        <v>67</v>
      </c>
      <c r="O32" s="16">
        <v>650000000</v>
      </c>
      <c r="P32" s="17" t="s">
        <v>161</v>
      </c>
    </row>
    <row r="33" spans="1:16">
      <c r="A33" s="8" t="s">
        <v>69</v>
      </c>
      <c r="B33" s="9" t="s">
        <v>68</v>
      </c>
      <c r="C33" s="9" t="s">
        <v>69</v>
      </c>
      <c r="D33" s="9" t="s">
        <v>12</v>
      </c>
      <c r="E33" s="9" t="s">
        <v>70</v>
      </c>
      <c r="F33" s="10">
        <v>4.7E-2</v>
      </c>
      <c r="G33" s="11">
        <v>47763</v>
      </c>
      <c r="H33" s="12">
        <f t="shared" si="0"/>
        <v>2030</v>
      </c>
      <c r="I33" s="13">
        <f>_xlfn.XLOOKUP(Bonos[[#This Row],[ISIN]],[2]bonos!$AG$2:$AG$220,[2]bonos!$H$2:$H$220)</f>
        <v>97.279560000000004</v>
      </c>
      <c r="J33" s="13">
        <f>_xlfn.XLOOKUP(Bonos[[#This Row],[ISIN]],[2]bonos!$AG$2:$AG$220,[2]bonos!$K$2:$K$220)</f>
        <v>5.5038780249519998</v>
      </c>
      <c r="K33" s="13">
        <f>_xlfn.XLOOKUP(Bonos[[#This Row],[ISIN]],[2]bonos!$AG$2:$AG$220,[2]bonos!$AP$2:$AP$220)</f>
        <v>130.75487422077001</v>
      </c>
      <c r="L33" s="13">
        <v>5.2167283875081001</v>
      </c>
      <c r="M33" s="14">
        <v>2000</v>
      </c>
      <c r="N33" s="15" t="s">
        <v>71</v>
      </c>
      <c r="O33" s="16">
        <v>600000000</v>
      </c>
      <c r="P33" s="17" t="s">
        <v>161</v>
      </c>
    </row>
    <row r="34" spans="1:16">
      <c r="A34" s="19" t="s">
        <v>60</v>
      </c>
      <c r="B34" s="20" t="s">
        <v>59</v>
      </c>
      <c r="C34" s="20" t="s">
        <v>60</v>
      </c>
      <c r="D34" s="9" t="s">
        <v>12</v>
      </c>
      <c r="E34" s="20" t="s">
        <v>61</v>
      </c>
      <c r="F34" s="32">
        <v>5.5E-2</v>
      </c>
      <c r="G34" s="33">
        <v>47727</v>
      </c>
      <c r="H34" s="12">
        <f t="shared" si="0"/>
        <v>2030</v>
      </c>
      <c r="I34" s="13">
        <f>_xlfn.XLOOKUP(Bonos[[#This Row],[ISIN]],[2]bonos!$AG$2:$AG$220,[2]bonos!$H$2:$H$220)</f>
        <v>98.2</v>
      </c>
      <c r="J34" s="13">
        <f>_xlfn.XLOOKUP(Bonos[[#This Row],[ISIN]],[2]bonos!$AG$2:$AG$220,[2]bonos!$K$2:$K$220)</f>
        <v>6.0892206099960999</v>
      </c>
      <c r="K34" s="13">
        <f>_xlfn.XLOOKUP(Bonos[[#This Row],[ISIN]],[2]bonos!$AG$2:$AG$220,[2]bonos!$AP$2:$AP$220)</f>
        <v>190.23409560722999</v>
      </c>
      <c r="L34" s="13">
        <v>5.9051997759867003</v>
      </c>
      <c r="M34" s="34">
        <v>2000</v>
      </c>
      <c r="N34" s="35" t="s">
        <v>72</v>
      </c>
      <c r="O34" s="16">
        <v>750000000</v>
      </c>
      <c r="P34" s="17" t="s">
        <v>161</v>
      </c>
    </row>
    <row r="35" spans="1:16">
      <c r="A35" s="8" t="s">
        <v>138</v>
      </c>
      <c r="B35" s="9" t="s">
        <v>42</v>
      </c>
      <c r="C35" s="9" t="str">
        <f>+A35</f>
        <v>Geopark</v>
      </c>
      <c r="D35" s="9" t="s">
        <v>21</v>
      </c>
      <c r="E35" s="9" t="s">
        <v>73</v>
      </c>
      <c r="F35" s="10">
        <v>8.7499999999999994E-2</v>
      </c>
      <c r="G35" s="11">
        <v>47514</v>
      </c>
      <c r="H35" s="12">
        <f t="shared" si="0"/>
        <v>2030</v>
      </c>
      <c r="I35" s="13">
        <f>_xlfn.XLOOKUP(Bonos[[#This Row],[ISIN]],[2]bonos!$AG$2:$AG$220,[2]bonos!$H$2:$H$220)</f>
        <v>100.55</v>
      </c>
      <c r="J35" s="13">
        <f>_xlfn.XLOOKUP(Bonos[[#This Row],[ISIN]],[2]bonos!$AG$2:$AG$220,[2]bonos!$K$2:$K$220)</f>
        <v>8.7479156676685008</v>
      </c>
      <c r="K35" s="13">
        <f>_xlfn.XLOOKUP(Bonos[[#This Row],[ISIN]],[2]bonos!$AG$2:$AG$220,[2]bonos!$AP$2:$AP$220)</f>
        <v>459.86510364928</v>
      </c>
      <c r="L35" s="13">
        <v>9.5170455367630993</v>
      </c>
      <c r="M35" s="14">
        <v>200000</v>
      </c>
      <c r="N35" s="15" t="s">
        <v>74</v>
      </c>
      <c r="O35" s="16">
        <v>550000000</v>
      </c>
      <c r="P35" s="17" t="s">
        <v>161</v>
      </c>
    </row>
    <row r="36" spans="1:16">
      <c r="A36" s="8" t="str">
        <f>+_xlfn.XLOOKUP($N36,'[1]Cbonds export 05.20.2025'!$K:$K,'[1]Cbonds export 05.20.2025'!$B:$B,1,0,1)</f>
        <v>EQT</v>
      </c>
      <c r="B36" s="9" t="str">
        <f>+_xlfn.XLOOKUP($N36,'[1]Cbonds export 05.20.2025'!$K:$K,'[1]Cbonds export 05.20.2025'!$C:$C,1,0,1)</f>
        <v>Oil and Gas Extraction and Refining</v>
      </c>
      <c r="C36" s="9" t="s">
        <v>75</v>
      </c>
      <c r="D36" s="9" t="s">
        <v>12</v>
      </c>
      <c r="E36" s="9" t="str">
        <f>+_xlfn.XLOOKUP($N36,'[1]Cbonds export 05.20.2025'!$K:$K,'[1]Cbonds export 05.20.2025'!$D:$D,1,0,1)</f>
        <v>Withdrawn/BBB-/BBB-</v>
      </c>
      <c r="F36" s="32">
        <f>+_xlfn.XLOOKUP($N36,'[1]Cbonds export 05.20.2025'!$K:$K,'[1]Cbonds export 05.20.2025'!$F:$F,1,0,1)</f>
        <v>7.0000000000000007E-2</v>
      </c>
      <c r="G36" s="33">
        <f>+_xlfn.XLOOKUP($N36,'[1]Cbonds export 05.20.2025'!$K:$K,'[1]Cbonds export 05.20.2025'!$G:$G,1,0,1)</f>
        <v>47485</v>
      </c>
      <c r="H36" s="12">
        <f t="shared" si="0"/>
        <v>2030</v>
      </c>
      <c r="I36" s="13">
        <f>_xlfn.XLOOKUP(Bonos[[#This Row],[ISIN]],[2]bonos!$AG$2:$AG$220,[2]bonos!$H$2:$H$220)</f>
        <v>105.5663</v>
      </c>
      <c r="J36" s="13">
        <f>_xlfn.XLOOKUP(Bonos[[#This Row],[ISIN]],[2]bonos!$AG$2:$AG$220,[2]bonos!$K$2:$K$220)</f>
        <v>5.3167478739792999</v>
      </c>
      <c r="K36" s="13">
        <f>_xlfn.XLOOKUP(Bonos[[#This Row],[ISIN]],[2]bonos!$AG$2:$AG$220,[2]bonos!$AP$2:$AP$220)</f>
        <v>116.12869134604</v>
      </c>
      <c r="L36" s="13">
        <v>5.1146249720602004</v>
      </c>
      <c r="M36" s="34">
        <f>+_xlfn.XLOOKUP($N36,'[1]Cbonds export 05.20.2025'!$K:$K,'[1]Cbonds export 05.20.2025'!$J:$J,1,0,1)</f>
        <v>2000</v>
      </c>
      <c r="N36" s="35" t="s">
        <v>76</v>
      </c>
      <c r="O36" s="16">
        <v>750000000</v>
      </c>
      <c r="P36" s="17" t="s">
        <v>161</v>
      </c>
    </row>
    <row r="37" spans="1:16">
      <c r="A37" s="8" t="s">
        <v>139</v>
      </c>
      <c r="B37" s="9" t="s">
        <v>34</v>
      </c>
      <c r="C37" s="9" t="str">
        <f>+A37</f>
        <v>Macy´s</v>
      </c>
      <c r="D37" s="9" t="s">
        <v>21</v>
      </c>
      <c r="E37" s="9" t="s">
        <v>77</v>
      </c>
      <c r="F37" s="10">
        <v>5.8749999999999997E-2</v>
      </c>
      <c r="G37" s="11">
        <v>47557</v>
      </c>
      <c r="H37" s="12">
        <f t="shared" si="0"/>
        <v>2030</v>
      </c>
      <c r="I37" s="13">
        <f>_xlfn.XLOOKUP(Bonos[[#This Row],[ISIN]],[2]bonos!$AG$2:$AG$220,[2]bonos!$H$2:$H$220)</f>
        <v>99.814999999999998</v>
      </c>
      <c r="J37" s="13">
        <f>_xlfn.XLOOKUP(Bonos[[#This Row],[ISIN]],[2]bonos!$AG$2:$AG$220,[2]bonos!$K$2:$K$220)</f>
        <v>6.0173203968370004</v>
      </c>
      <c r="K37" s="13">
        <f>_xlfn.XLOOKUP(Bonos[[#This Row],[ISIN]],[2]bonos!$AG$2:$AG$220,[2]bonos!$AP$2:$AP$220)</f>
        <v>185.23414711397001</v>
      </c>
      <c r="L37" s="13">
        <v>5.9026780275639998</v>
      </c>
      <c r="M37" s="14">
        <v>2000</v>
      </c>
      <c r="N37" s="15" t="s">
        <v>78</v>
      </c>
      <c r="O37" s="16">
        <v>425000000</v>
      </c>
      <c r="P37" s="17" t="s">
        <v>161</v>
      </c>
    </row>
    <row r="38" spans="1:16">
      <c r="A38" s="19" t="s">
        <v>140</v>
      </c>
      <c r="B38" s="20" t="s">
        <v>42</v>
      </c>
      <c r="C38" s="20" t="str">
        <f>+A38</f>
        <v>HF Sinclair</v>
      </c>
      <c r="D38" s="9" t="s">
        <v>12</v>
      </c>
      <c r="E38" s="20" t="s">
        <v>17</v>
      </c>
      <c r="F38" s="32">
        <v>4.4999999999999998E-2</v>
      </c>
      <c r="G38" s="33">
        <v>47757</v>
      </c>
      <c r="H38" s="12">
        <f t="shared" si="0"/>
        <v>2030</v>
      </c>
      <c r="I38" s="13">
        <f>_xlfn.XLOOKUP(Bonos[[#This Row],[ISIN]],[2]bonos!$AG$2:$AG$220,[2]bonos!$H$2:$H$220)</f>
        <v>96.577600000000004</v>
      </c>
      <c r="J38" s="13">
        <f>_xlfn.XLOOKUP(Bonos[[#This Row],[ISIN]],[2]bonos!$AG$2:$AG$220,[2]bonos!$K$2:$K$220)</f>
        <v>5.4958884088957003</v>
      </c>
      <c r="K38" s="13">
        <f>_xlfn.XLOOKUP(Bonos[[#This Row],[ISIN]],[2]bonos!$AG$2:$AG$220,[2]bonos!$AP$2:$AP$220)</f>
        <v>129.97234669082999</v>
      </c>
      <c r="L38" s="13">
        <v>5.3399688621105996</v>
      </c>
      <c r="M38" s="34">
        <v>2000</v>
      </c>
      <c r="N38" s="35" t="s">
        <v>79</v>
      </c>
      <c r="O38" s="16">
        <v>75000000</v>
      </c>
      <c r="P38" s="17" t="s">
        <v>161</v>
      </c>
    </row>
    <row r="39" spans="1:16">
      <c r="A39" s="8" t="str">
        <f>+_xlfn.XLOOKUP($N39,'[1]Cbonds export 05.20.2025'!$K:$K,'[1]Cbonds export 05.20.2025'!$B:$B,1,0,1)</f>
        <v>Petrobras</v>
      </c>
      <c r="B39" s="9" t="str">
        <f>+_xlfn.XLOOKUP($N39,'[1]Cbonds export 05.20.2025'!$K:$K,'[1]Cbonds export 05.20.2025'!$C:$C,1,0,1)</f>
        <v>Oil and Gas Extraction and Refining</v>
      </c>
      <c r="C39" s="9" t="s">
        <v>80</v>
      </c>
      <c r="D39" s="9" t="s">
        <v>21</v>
      </c>
      <c r="E39" s="9" t="str">
        <f>+_xlfn.XLOOKUP($N39,'[1]Cbonds export 05.20.2025'!$K:$K,'[1]Cbonds export 05.20.2025'!$D:$D,1,0,1)</f>
        <v>Ba1/BB/BB</v>
      </c>
      <c r="F39" s="10">
        <f>+_xlfn.XLOOKUP($N39,'[1]Cbonds export 05.20.2025'!$K:$K,'[1]Cbonds export 05.20.2025'!$F:$F,1,0,1)</f>
        <v>5.0930000000000003E-2</v>
      </c>
      <c r="G39" s="11" t="str">
        <f>+_xlfn.XLOOKUP($N39,'[1]Cbonds export 05.20.2025'!$K:$K,'[1]Cbonds export 05.20.2025'!$G:$G,1,0,1)</f>
        <v>15/01/2030</v>
      </c>
      <c r="H39" s="12">
        <f t="shared" si="0"/>
        <v>2030</v>
      </c>
      <c r="I39" s="13">
        <f>_xlfn.XLOOKUP(Bonos[[#This Row],[ISIN]],[2]bonos!$AG$2:$AG$220,[2]bonos!$H$2:$H$220)</f>
        <v>98.744500000000002</v>
      </c>
      <c r="J39" s="13">
        <f>_xlfn.XLOOKUP(Bonos[[#This Row],[ISIN]],[2]bonos!$AG$2:$AG$220,[2]bonos!$K$2:$K$220)</f>
        <v>5.5695677340319003</v>
      </c>
      <c r="K39" s="13">
        <f>_xlfn.XLOOKUP(Bonos[[#This Row],[ISIN]],[2]bonos!$AG$2:$AG$220,[2]bonos!$AP$2:$AP$220)</f>
        <v>140.68770102907999</v>
      </c>
      <c r="L39" s="13">
        <v>5.4081318780318997</v>
      </c>
      <c r="M39" s="14">
        <f>+_xlfn.XLOOKUP($N39,'[1]Cbonds export 05.20.2025'!$K:$K,'[1]Cbonds export 05.20.2025'!$J:$J,1,0,1)</f>
        <v>2000</v>
      </c>
      <c r="N39" s="15" t="s">
        <v>81</v>
      </c>
      <c r="O39" s="16">
        <v>375896000</v>
      </c>
      <c r="P39" s="17" t="s">
        <v>161</v>
      </c>
    </row>
    <row r="40" spans="1:16">
      <c r="A40" s="8" t="str">
        <f>+_xlfn.XLOOKUP($N40,'[1]Cbonds export 05.20.2025'!$K:$K,'[1]Cbonds export 05.20.2025'!$B:$B,1,0,1)</f>
        <v>Viatris</v>
      </c>
      <c r="B40" s="9" t="str">
        <f>+_xlfn.XLOOKUP($N40,'[1]Cbonds export 05.20.2025'!$K:$K,'[1]Cbonds export 05.20.2025'!$C:$C,1,0,1)</f>
        <v>Pharmaceutical Preparation and Biotechnology</v>
      </c>
      <c r="C40" s="9" t="s">
        <v>23</v>
      </c>
      <c r="D40" s="9" t="s">
        <v>21</v>
      </c>
      <c r="E40" s="9" t="str">
        <f>+_xlfn.XLOOKUP($N40,'[1]Cbonds export 05.20.2025'!$K:$K,'[1]Cbonds export 05.20.2025'!$D:$D,1,0,1)</f>
        <v>-/BB+/BBB</v>
      </c>
      <c r="F40" s="10">
        <f>+_xlfn.XLOOKUP($N40,'[1]Cbonds export 05.20.2025'!$K:$K,'[1]Cbonds export 05.20.2025'!$F:$F,1,0,1)</f>
        <v>2.7E-2</v>
      </c>
      <c r="G40" s="11" t="str">
        <f>+_xlfn.XLOOKUP($N40,'[1]Cbonds export 05.20.2025'!$K:$K,'[1]Cbonds export 05.20.2025'!$G:$G,1,0,1)</f>
        <v>22/06/2030</v>
      </c>
      <c r="H40" s="12">
        <f t="shared" si="0"/>
        <v>2030</v>
      </c>
      <c r="I40" s="13">
        <f>_xlfn.XLOOKUP(Bonos[[#This Row],[ISIN]],[2]bonos!$AG$2:$AG$220,[2]bonos!$H$2:$H$220)</f>
        <v>90.8078</v>
      </c>
      <c r="J40" s="13">
        <f>_xlfn.XLOOKUP(Bonos[[#This Row],[ISIN]],[2]bonos!$AG$2:$AG$220,[2]bonos!$K$2:$K$220)</f>
        <v>5.4036479562327999</v>
      </c>
      <c r="K40" s="13">
        <f>_xlfn.XLOOKUP(Bonos[[#This Row],[ISIN]],[2]bonos!$AG$2:$AG$220,[2]bonos!$AP$2:$AP$220)</f>
        <v>121.24208205215</v>
      </c>
      <c r="L40" s="13">
        <v>5.2241215897703999</v>
      </c>
      <c r="M40" s="14">
        <f>+_xlfn.XLOOKUP($N40,'[1]Cbonds export 05.20.2025'!$K:$K,'[1]Cbonds export 05.20.2025'!$J:$J,1,0,1)</f>
        <v>2000</v>
      </c>
      <c r="N40" s="15" t="s">
        <v>82</v>
      </c>
      <c r="O40" s="16">
        <v>1449500000</v>
      </c>
      <c r="P40" s="17" t="s">
        <v>161</v>
      </c>
    </row>
    <row r="41" spans="1:16">
      <c r="A41" s="8" t="str">
        <f>+_xlfn.XLOOKUP($N41,'[1]Cbonds export 05.20.2025'!$K:$K,'[1]Cbonds export 05.20.2025'!$B:$B,1,0,1)</f>
        <v>Embraer</v>
      </c>
      <c r="B41" s="9" t="str">
        <f>+_xlfn.XLOOKUP($N41,'[1]Cbonds export 05.20.2025'!$K:$K,'[1]Cbonds export 05.20.2025'!$C:$C,1,0,1)</f>
        <v>Aircraft Production and Defense</v>
      </c>
      <c r="C41" s="9" t="s">
        <v>83</v>
      </c>
      <c r="D41" s="9" t="s">
        <v>12</v>
      </c>
      <c r="E41" s="9" t="s">
        <v>57</v>
      </c>
      <c r="F41" s="10">
        <f>+_xlfn.XLOOKUP($N41,'[1]Cbonds export 05.20.2025'!$K:$K,'[1]Cbonds export 05.20.2025'!$F:$F,1,0,1)</f>
        <v>7.0000000000000007E-2</v>
      </c>
      <c r="G41" s="11" t="str">
        <f>+_xlfn.XLOOKUP($N41,'[1]Cbonds export 05.20.2025'!$K:$K,'[1]Cbonds export 05.20.2025'!$G:$G,1,0,1)</f>
        <v>28/07/2030</v>
      </c>
      <c r="H41" s="12">
        <f t="shared" si="0"/>
        <v>2030</v>
      </c>
      <c r="I41" s="13">
        <f>_xlfn.XLOOKUP(Bonos[[#This Row],[ISIN]],[2]bonos!$AG$2:$AG$220,[2]bonos!$H$2:$H$220)</f>
        <v>108.4</v>
      </c>
      <c r="J41" s="13">
        <f>_xlfn.XLOOKUP(Bonos[[#This Row],[ISIN]],[2]bonos!$AG$2:$AG$220,[2]bonos!$K$2:$K$220)</f>
        <v>4.8028528899121001</v>
      </c>
      <c r="K41" s="13">
        <f>_xlfn.XLOOKUP(Bonos[[#This Row],[ISIN]],[2]bonos!$AG$2:$AG$220,[2]bonos!$AP$2:$AP$220)</f>
        <v>76.010527540115007</v>
      </c>
      <c r="L41" s="13">
        <v>4.8028528899121001</v>
      </c>
      <c r="M41" s="14">
        <f>+_xlfn.XLOOKUP($N41,'[1]Cbonds export 05.20.2025'!$K:$K,'[1]Cbonds export 05.20.2025'!$J:$J,1,0,1)</f>
        <v>200000</v>
      </c>
      <c r="N41" s="15" t="s">
        <v>84</v>
      </c>
      <c r="O41" s="16">
        <v>750000000</v>
      </c>
      <c r="P41" s="17" t="s">
        <v>161</v>
      </c>
    </row>
    <row r="42" spans="1:16">
      <c r="A42" s="8" t="str">
        <f>+_xlfn.XLOOKUP($N42,'[1]Cbonds export 05.20.2025'!$K:$K,'[1]Cbonds export 05.20.2025'!$B:$B,1,0,1)</f>
        <v>Vale</v>
      </c>
      <c r="B42" s="9" t="str">
        <f>+_xlfn.XLOOKUP($N42,'[1]Cbonds export 05.20.2025'!$K:$K,'[1]Cbonds export 05.20.2025'!$C:$C,1,0,1)</f>
        <v>Ferrous metals</v>
      </c>
      <c r="C42" s="9" t="s">
        <v>85</v>
      </c>
      <c r="D42" s="9" t="s">
        <v>12</v>
      </c>
      <c r="E42" s="9" t="s">
        <v>86</v>
      </c>
      <c r="F42" s="10">
        <f>+_xlfn.XLOOKUP($N42,'[1]Cbonds export 05.20.2025'!$K:$K,'[1]Cbonds export 05.20.2025'!$F:$F,1,0,1)</f>
        <v>3.7499999999999999E-2</v>
      </c>
      <c r="G42" s="11">
        <f>+_xlfn.XLOOKUP($N42,'[1]Cbonds export 05.20.2025'!$K:$K,'[1]Cbonds export 05.20.2025'!$G:$G,1,0,1)</f>
        <v>47702</v>
      </c>
      <c r="H42" s="12">
        <f t="shared" si="0"/>
        <v>2030</v>
      </c>
      <c r="I42" s="13">
        <f>_xlfn.XLOOKUP(Bonos[[#This Row],[ISIN]],[2]bonos!$AG$2:$AG$220,[2]bonos!$H$2:$H$220)</f>
        <v>95.001499999999993</v>
      </c>
      <c r="J42" s="13">
        <f>_xlfn.XLOOKUP(Bonos[[#This Row],[ISIN]],[2]bonos!$AG$2:$AG$220,[2]bonos!$K$2:$K$220)</f>
        <v>5.2283698275725001</v>
      </c>
      <c r="K42" s="13">
        <f>_xlfn.XLOOKUP(Bonos[[#This Row],[ISIN]],[2]bonos!$AG$2:$AG$220,[2]bonos!$AP$2:$AP$220)</f>
        <v>103.82670854887</v>
      </c>
      <c r="L42" s="13">
        <v>5.1140232684006</v>
      </c>
      <c r="M42" s="14">
        <f>+_xlfn.XLOOKUP($N42,'[1]Cbonds export 05.20.2025'!$K:$K,'[1]Cbonds export 05.20.2025'!$J:$J,1,0,1)</f>
        <v>2000</v>
      </c>
      <c r="N42" s="15" t="s">
        <v>87</v>
      </c>
      <c r="O42" s="16">
        <v>1500000000</v>
      </c>
      <c r="P42" s="17" t="s">
        <v>161</v>
      </c>
    </row>
    <row r="43" spans="1:16">
      <c r="A43" s="8" t="s">
        <v>135</v>
      </c>
      <c r="B43" s="9" t="s">
        <v>34</v>
      </c>
      <c r="C43" s="9" t="str">
        <f>+A43</f>
        <v>Nordstrom</v>
      </c>
      <c r="D43" s="9" t="s">
        <v>21</v>
      </c>
      <c r="E43" s="9" t="s">
        <v>43</v>
      </c>
      <c r="F43" s="10">
        <v>4.3749999999999997E-2</v>
      </c>
      <c r="G43" s="11">
        <v>47574</v>
      </c>
      <c r="H43" s="12">
        <f t="shared" si="0"/>
        <v>2030</v>
      </c>
      <c r="I43" s="13">
        <f>_xlfn.XLOOKUP(Bonos[[#This Row],[ISIN]],[2]bonos!$AG$2:$AG$220,[2]bonos!$H$2:$H$220)</f>
        <v>95.935000000000002</v>
      </c>
      <c r="J43" s="13">
        <f>_xlfn.XLOOKUP(Bonos[[#This Row],[ISIN]],[2]bonos!$AG$2:$AG$220,[2]bonos!$K$2:$K$220)</f>
        <v>5.6866903609593002</v>
      </c>
      <c r="K43" s="13">
        <f>_xlfn.XLOOKUP(Bonos[[#This Row],[ISIN]],[2]bonos!$AG$2:$AG$220,[2]bonos!$AP$2:$AP$220)</f>
        <v>151.45019039428001</v>
      </c>
      <c r="L43" s="13">
        <v>5.4537213017957997</v>
      </c>
      <c r="M43" s="14">
        <v>2000</v>
      </c>
      <c r="N43" s="15" t="s">
        <v>88</v>
      </c>
      <c r="O43" s="16">
        <v>500000000</v>
      </c>
      <c r="P43" s="17" t="s">
        <v>161</v>
      </c>
    </row>
    <row r="44" spans="1:16">
      <c r="A44" s="8" t="str">
        <f>+_xlfn.XLOOKUP($N44,'[1]Cbonds export 05.20.2025'!$K:$K,'[1]Cbonds export 05.20.2025'!$B:$B,1,0,1)</f>
        <v>Centene</v>
      </c>
      <c r="B44" s="9" t="str">
        <f>+_xlfn.XLOOKUP($N44,'[1]Cbonds export 05.20.2025'!$K:$K,'[1]Cbonds export 05.20.2025'!$C:$C,1,0,1)</f>
        <v>Insurance and Reinsurance</v>
      </c>
      <c r="C44" s="9" t="s">
        <v>89</v>
      </c>
      <c r="D44" s="9" t="s">
        <v>21</v>
      </c>
      <c r="E44" s="9" t="s">
        <v>90</v>
      </c>
      <c r="F44" s="10">
        <f>+_xlfn.XLOOKUP($N44,'[1]Cbonds export 05.20.2025'!$K:$K,'[1]Cbonds export 05.20.2025'!$F:$F,1,0,1)</f>
        <v>0.03</v>
      </c>
      <c r="G44" s="11" t="str">
        <f>+_xlfn.XLOOKUP($N44,'[1]Cbonds export 05.20.2025'!$K:$K,'[1]Cbonds export 05.20.2025'!$G:$G,1,0,1)</f>
        <v>15/10/2030</v>
      </c>
      <c r="H44" s="12">
        <f t="shared" si="0"/>
        <v>2030</v>
      </c>
      <c r="I44" s="13">
        <f>_xlfn.XLOOKUP(Bonos[[#This Row],[ISIN]],[2]bonos!$AG$2:$AG$220,[2]bonos!$H$2:$H$220)</f>
        <v>90.164500000000004</v>
      </c>
      <c r="J44" s="13">
        <f>_xlfn.XLOOKUP(Bonos[[#This Row],[ISIN]],[2]bonos!$AG$2:$AG$220,[2]bonos!$K$2:$K$220)</f>
        <v>5.7259922256740001</v>
      </c>
      <c r="K44" s="13">
        <f>_xlfn.XLOOKUP(Bonos[[#This Row],[ISIN]],[2]bonos!$AG$2:$AG$220,[2]bonos!$AP$2:$AP$220)</f>
        <v>152.08590784775001</v>
      </c>
      <c r="L44" s="13">
        <v>5.6146107857010001</v>
      </c>
      <c r="M44" s="14">
        <f>+_xlfn.XLOOKUP($N44,'[1]Cbonds export 05.20.2025'!$K:$K,'[1]Cbonds export 05.20.2025'!$J:$J,1,0,1)</f>
        <v>2000</v>
      </c>
      <c r="N44" s="15" t="s">
        <v>91</v>
      </c>
      <c r="O44" s="16">
        <v>2200000000</v>
      </c>
      <c r="P44" s="17" t="s">
        <v>161</v>
      </c>
    </row>
    <row r="45" spans="1:16">
      <c r="A45" s="8" t="s">
        <v>93</v>
      </c>
      <c r="B45" s="9" t="s">
        <v>92</v>
      </c>
      <c r="C45" s="9" t="s">
        <v>93</v>
      </c>
      <c r="D45" s="9" t="s">
        <v>12</v>
      </c>
      <c r="E45" s="9" t="s">
        <v>94</v>
      </c>
      <c r="F45" s="36">
        <v>3.6249999999999998E-2</v>
      </c>
      <c r="G45" s="11">
        <v>47618</v>
      </c>
      <c r="H45" s="12">
        <f t="shared" si="0"/>
        <v>2030</v>
      </c>
      <c r="I45" s="13">
        <f>_xlfn.XLOOKUP(Bonos[[#This Row],[ISIN]],[2]bonos!$AG$2:$AG$220,[2]bonos!$H$2:$H$220)</f>
        <v>77.144999999999996</v>
      </c>
      <c r="J45" s="13">
        <f>_xlfn.XLOOKUP(Bonos[[#This Row],[ISIN]],[2]bonos!$AG$2:$AG$220,[2]bonos!$K$2:$K$220)</f>
        <v>11.449925268537999</v>
      </c>
      <c r="K45" s="13">
        <f>_xlfn.XLOOKUP(Bonos[[#This Row],[ISIN]],[2]bonos!$AG$2:$AG$220,[2]bonos!$AP$2:$AP$220)</f>
        <v>726.99066616861001</v>
      </c>
      <c r="L45" s="13">
        <v>9.9952818659825997</v>
      </c>
      <c r="M45" s="14">
        <v>2000</v>
      </c>
      <c r="N45" s="15" t="s">
        <v>95</v>
      </c>
      <c r="O45" s="16">
        <v>917517000</v>
      </c>
      <c r="P45" s="17" t="s">
        <v>161</v>
      </c>
    </row>
    <row r="46" spans="1:16">
      <c r="A46" s="8" t="s">
        <v>137</v>
      </c>
      <c r="B46" s="9" t="s">
        <v>56</v>
      </c>
      <c r="C46" s="9" t="str">
        <f>+A46</f>
        <v>Mattel</v>
      </c>
      <c r="D46" s="9" t="s">
        <v>12</v>
      </c>
      <c r="E46" s="9" t="s">
        <v>61</v>
      </c>
      <c r="F46" s="10">
        <v>0.05</v>
      </c>
      <c r="G46" s="11">
        <v>47804</v>
      </c>
      <c r="H46" s="12">
        <f t="shared" si="0"/>
        <v>2030</v>
      </c>
      <c r="I46" s="13">
        <f>_xlfn.XLOOKUP(Bonos[[#This Row],[ISIN]],[2]bonos!$AG$2:$AG$220,[2]bonos!$H$2:$H$220)</f>
        <v>98.704999999999998</v>
      </c>
      <c r="J46" s="13">
        <f>_xlfn.XLOOKUP(Bonos[[#This Row],[ISIN]],[2]bonos!$AG$2:$AG$220,[2]bonos!$K$2:$K$220)</f>
        <v>5.4091299597324998</v>
      </c>
      <c r="K46" s="13">
        <f>_xlfn.XLOOKUP(Bonos[[#This Row],[ISIN]],[2]bonos!$AG$2:$AG$220,[2]bonos!$AP$2:$AP$220)</f>
        <v>120.72910483749</v>
      </c>
      <c r="L46" s="13">
        <v>5.1950145746962004</v>
      </c>
      <c r="M46" s="14">
        <v>2000</v>
      </c>
      <c r="N46" s="15" t="s">
        <v>96</v>
      </c>
      <c r="O46" s="16">
        <v>600000000</v>
      </c>
      <c r="P46" s="17" t="s">
        <v>161</v>
      </c>
    </row>
    <row r="47" spans="1:16">
      <c r="A47" s="8" t="s">
        <v>140</v>
      </c>
      <c r="B47" s="9" t="s">
        <v>42</v>
      </c>
      <c r="C47" s="9" t="str">
        <f>+A47</f>
        <v>HF Sinclair</v>
      </c>
      <c r="D47" s="9" t="s">
        <v>12</v>
      </c>
      <c r="E47" s="9" t="s">
        <v>17</v>
      </c>
      <c r="F47" s="36">
        <v>5.7500000000000002E-2</v>
      </c>
      <c r="G47" s="11">
        <v>47863</v>
      </c>
      <c r="H47" s="12">
        <f t="shared" si="0"/>
        <v>2031</v>
      </c>
      <c r="I47" s="13">
        <f>_xlfn.XLOOKUP(Bonos[[#This Row],[ISIN]],[2]bonos!$AG$2:$AG$220,[2]bonos!$H$2:$H$220)</f>
        <v>101.6</v>
      </c>
      <c r="J47" s="13">
        <f>_xlfn.XLOOKUP(Bonos[[#This Row],[ISIN]],[2]bonos!$AG$2:$AG$220,[2]bonos!$K$2:$K$220)</f>
        <v>5.4144095584879999</v>
      </c>
      <c r="K47" s="13">
        <f>_xlfn.XLOOKUP(Bonos[[#This Row],[ISIN]],[2]bonos!$AG$2:$AG$220,[2]bonos!$AP$2:$AP$220)</f>
        <v>120.57510221228</v>
      </c>
      <c r="L47" s="13">
        <v>5.3044691221645</v>
      </c>
      <c r="M47" s="14">
        <v>2000</v>
      </c>
      <c r="N47" s="15" t="s">
        <v>97</v>
      </c>
      <c r="O47" s="16">
        <v>650000000</v>
      </c>
      <c r="P47" s="17" t="s">
        <v>161</v>
      </c>
    </row>
    <row r="48" spans="1:16">
      <c r="A48" s="8" t="str">
        <f>+_xlfn.XLOOKUP($N48,'[1]Cbonds export 05.20.2025'!$K:$K,'[1]Cbonds export 05.20.2025'!$B:$B,1,0,1)</f>
        <v>Centene</v>
      </c>
      <c r="B48" s="9" t="str">
        <f>+_xlfn.XLOOKUP($N48,'[1]Cbonds export 05.20.2025'!$K:$K,'[1]Cbonds export 05.20.2025'!$C:$C,1,0,1)</f>
        <v>Insurance and Reinsurance</v>
      </c>
      <c r="C48" s="9" t="s">
        <v>89</v>
      </c>
      <c r="D48" s="9" t="s">
        <v>21</v>
      </c>
      <c r="E48" s="9" t="s">
        <v>90</v>
      </c>
      <c r="F48" s="10">
        <f>+_xlfn.XLOOKUP($N48,'[1]Cbonds export 05.20.2025'!$K:$K,'[1]Cbonds export 05.20.2025'!$F:$F,1,0,1)</f>
        <v>2.5000000000000001E-2</v>
      </c>
      <c r="G48" s="11">
        <f>+_xlfn.XLOOKUP($N48,'[1]Cbonds export 05.20.2025'!$K:$K,'[1]Cbonds export 05.20.2025'!$G:$G,1,0,1)</f>
        <v>47851</v>
      </c>
      <c r="H48" s="12">
        <f t="shared" si="0"/>
        <v>2031</v>
      </c>
      <c r="I48" s="13">
        <f>_xlfn.XLOOKUP(Bonos[[#This Row],[ISIN]],[2]bonos!$AG$2:$AG$220,[2]bonos!$H$2:$H$220)</f>
        <v>86.842500000000001</v>
      </c>
      <c r="J48" s="13">
        <f>_xlfn.XLOOKUP(Bonos[[#This Row],[ISIN]],[2]bonos!$AG$2:$AG$220,[2]bonos!$K$2:$K$220)</f>
        <v>5.8792735535786003</v>
      </c>
      <c r="K48" s="13">
        <f>_xlfn.XLOOKUP(Bonos[[#This Row],[ISIN]],[2]bonos!$AG$2:$AG$220,[2]bonos!$AP$2:$AP$220)</f>
        <v>165.20963267785999</v>
      </c>
      <c r="L48" s="13">
        <v>5.6745121526288997</v>
      </c>
      <c r="M48" s="14">
        <f>+_xlfn.XLOOKUP($N48,'[1]Cbonds export 05.20.2025'!$K:$K,'[1]Cbonds export 05.20.2025'!$J:$J,1,0,1)</f>
        <v>2000</v>
      </c>
      <c r="N48" s="37" t="s">
        <v>98</v>
      </c>
      <c r="O48" s="16">
        <v>2200000000</v>
      </c>
      <c r="P48" s="17" t="s">
        <v>161</v>
      </c>
    </row>
    <row r="49" spans="1:16">
      <c r="A49" s="8" t="str">
        <f>+_xlfn.XLOOKUP($N49,'[1]Cbonds export 05.20.2025'!$K:$K,'[1]Cbonds export 05.20.2025'!$B:$B,1,0,1)</f>
        <v>Micron Technology</v>
      </c>
      <c r="B49" s="20" t="str">
        <f>+_xlfn.XLOOKUP($N49,'[1]Cbonds export 05.20.2025'!$K:$K,'[1]Cbonds export 05.20.2025'!$C:$C,1,0,1)</f>
        <v>Semiconductors</v>
      </c>
      <c r="C49" s="20" t="s">
        <v>99</v>
      </c>
      <c r="D49" s="9" t="s">
        <v>12</v>
      </c>
      <c r="E49" s="20" t="str">
        <f>+_xlfn.XLOOKUP($N49,'[1]Cbonds export 05.20.2025'!$K:$K,'[1]Cbonds export 05.20.2025'!$D:$D,1,0,1)</f>
        <v>-/BBB-/BBB</v>
      </c>
      <c r="F49" s="32">
        <f>+_xlfn.XLOOKUP($N49,'[1]Cbonds export 05.20.2025'!$K:$K,'[1]Cbonds export 05.20.2025'!$F:$F,1,0,1)</f>
        <v>5.2999999999999999E-2</v>
      </c>
      <c r="G49" s="33" t="str">
        <f>+_xlfn.XLOOKUP($N49,'[1]Cbonds export 05.20.2025'!$K:$K,'[1]Cbonds export 05.20.2025'!$G:$G,1,0,1)</f>
        <v>15/01/2031</v>
      </c>
      <c r="H49" s="12">
        <f t="shared" si="0"/>
        <v>2031</v>
      </c>
      <c r="I49" s="13">
        <f>_xlfn.XLOOKUP(Bonos[[#This Row],[ISIN]],[2]bonos!$AG$2:$AG$220,[2]bonos!$H$2:$H$220)</f>
        <v>101.80500000000001</v>
      </c>
      <c r="J49" s="13">
        <f>_xlfn.XLOOKUP(Bonos[[#This Row],[ISIN]],[2]bonos!$AG$2:$AG$220,[2]bonos!$K$2:$K$220)</f>
        <v>4.9050583828213004</v>
      </c>
      <c r="K49" s="13">
        <f>_xlfn.XLOOKUP(Bonos[[#This Row],[ISIN]],[2]bonos!$AG$2:$AG$220,[2]bonos!$AP$2:$AP$220)</f>
        <v>69.431880707664007</v>
      </c>
      <c r="L49" s="13">
        <v>4.8424845463382002</v>
      </c>
      <c r="M49" s="34">
        <f>+_xlfn.XLOOKUP($N49,'[1]Cbonds export 05.20.2025'!$K:$K,'[1]Cbonds export 05.20.2025'!$J:$J,1,0,1)</f>
        <v>2000</v>
      </c>
      <c r="N49" s="15" t="s">
        <v>100</v>
      </c>
      <c r="O49" s="16">
        <v>1000000000</v>
      </c>
      <c r="P49" s="17" t="s">
        <v>161</v>
      </c>
    </row>
    <row r="50" spans="1:16">
      <c r="A50" s="8" t="s">
        <v>25</v>
      </c>
      <c r="B50" s="20" t="s">
        <v>134</v>
      </c>
      <c r="C50" s="20" t="s">
        <v>25</v>
      </c>
      <c r="D50" s="9" t="s">
        <v>12</v>
      </c>
      <c r="E50" s="20" t="s">
        <v>121</v>
      </c>
      <c r="F50" s="32">
        <v>4.4999999999999998E-2</v>
      </c>
      <c r="G50" s="33">
        <v>47899</v>
      </c>
      <c r="H50" s="12">
        <v>2031</v>
      </c>
      <c r="I50" s="43">
        <f>_xlfn.XLOOKUP(Bonos[[#This Row],[ISIN]],[2]bonos!$AG$2:$AG$220,[2]bonos!$H$2:$H$220)</f>
        <v>97.14</v>
      </c>
      <c r="J50" s="43">
        <f>_xlfn.XLOOKUP(Bonos[[#This Row],[ISIN]],[2]bonos!$AG$2:$AG$220,[2]bonos!$K$2:$K$220)</f>
        <v>5.2775961551588999</v>
      </c>
      <c r="K50" s="43">
        <f>_xlfn.XLOOKUP(Bonos[[#This Row],[ISIN]],[2]bonos!$AG$2:$AG$220,[2]bonos!$AP$2:$AP$220)</f>
        <v>106.35347008796001</v>
      </c>
      <c r="L50" s="43">
        <v>5.1539999999999999</v>
      </c>
      <c r="M50" s="34">
        <v>2000</v>
      </c>
      <c r="N50" s="15" t="s">
        <v>157</v>
      </c>
      <c r="O50" s="16">
        <v>600000000</v>
      </c>
      <c r="P50" s="17" t="s">
        <v>161</v>
      </c>
    </row>
    <row r="51" spans="1:16">
      <c r="A51" s="8" t="str">
        <f>+_xlfn.XLOOKUP($N51,'[1]Cbonds export 05.20.2025'!$K:$K,'[1]Cbonds export 05.20.2025'!$B:$B,1,0,1)</f>
        <v>Petrobras</v>
      </c>
      <c r="B51" s="9" t="str">
        <f>+_xlfn.XLOOKUP($N51,'[1]Cbonds export 05.20.2025'!$K:$K,'[1]Cbonds export 05.20.2025'!$C:$C,1,0,1)</f>
        <v>Oil and Gas Extraction and Refining</v>
      </c>
      <c r="C51" s="9" t="s">
        <v>80</v>
      </c>
      <c r="D51" s="9" t="s">
        <v>21</v>
      </c>
      <c r="E51" s="9" t="str">
        <f>+_xlfn.XLOOKUP($N51,'[1]Cbonds export 05.20.2025'!$K:$K,'[1]Cbonds export 05.20.2025'!$D:$D,1,0,1)</f>
        <v>Ba1/BB/BB</v>
      </c>
      <c r="F51" s="10">
        <f>+_xlfn.XLOOKUP($N51,'[1]Cbonds export 05.20.2025'!$K:$K,'[1]Cbonds export 05.20.2025'!$F:$F,1,0,1)</f>
        <v>5.6000000000000001E-2</v>
      </c>
      <c r="G51" s="11">
        <f>+_xlfn.XLOOKUP($N51,'[1]Cbonds export 05.20.2025'!$K:$K,'[1]Cbonds export 05.20.2025'!$G:$G,1,0,1)</f>
        <v>47908</v>
      </c>
      <c r="H51" s="12">
        <f t="shared" si="0"/>
        <v>2031</v>
      </c>
      <c r="I51" s="13">
        <f>_xlfn.XLOOKUP(Bonos[[#This Row],[ISIN]],[2]bonos!$AG$2:$AG$220,[2]bonos!$H$2:$H$220)</f>
        <v>100.045</v>
      </c>
      <c r="J51" s="13">
        <f>_xlfn.XLOOKUP(Bonos[[#This Row],[ISIN]],[2]bonos!$AG$2:$AG$220,[2]bonos!$K$2:$K$220)</f>
        <v>5.6655276789892</v>
      </c>
      <c r="K51" s="13">
        <f>_xlfn.XLOOKUP(Bonos[[#This Row],[ISIN]],[2]bonos!$AG$2:$AG$220,[2]bonos!$AP$2:$AP$220)</f>
        <v>145.84825050487001</v>
      </c>
      <c r="L51" s="13">
        <v>5.4649379355078</v>
      </c>
      <c r="M51" s="14">
        <f>+_xlfn.XLOOKUP($N51,'[1]Cbonds export 05.20.2025'!$K:$K,'[1]Cbonds export 05.20.2025'!$J:$J,1,0,1)</f>
        <v>2000</v>
      </c>
      <c r="N51" s="15" t="s">
        <v>101</v>
      </c>
      <c r="O51" s="16">
        <v>823936000</v>
      </c>
      <c r="P51" s="17" t="s">
        <v>161</v>
      </c>
    </row>
    <row r="52" spans="1:16">
      <c r="A52" s="8" t="str">
        <f>+_xlfn.XLOOKUP($N52,'[1]Cbonds export 05.20.2025'!$K:$K,'[1]Cbonds export 05.20.2025'!$B:$B,1,0,1)</f>
        <v>British American Tobacco</v>
      </c>
      <c r="B52" s="9" t="str">
        <f>+_xlfn.XLOOKUP($N52,'[1]Cbonds export 05.20.2025'!$K:$K,'[1]Cbonds export 05.20.2025'!$C:$C,1,0,1)</f>
        <v>Tobacco</v>
      </c>
      <c r="C52" s="9" t="s">
        <v>102</v>
      </c>
      <c r="D52" s="9" t="s">
        <v>12</v>
      </c>
      <c r="E52" s="9" t="str">
        <f>+_xlfn.XLOOKUP($N52,'[1]Cbonds export 05.20.2025'!$K:$K,'[1]Cbonds export 05.20.2025'!$D:$D,1,0,1)</f>
        <v>Baa1/BBB+/BBB+</v>
      </c>
      <c r="F52" s="10">
        <f>+_xlfn.XLOOKUP($N52,'[1]Cbonds export 05.20.2025'!$K:$K,'[1]Cbonds export 05.20.2025'!$F:$F,1,0,1)</f>
        <v>2.726E-2</v>
      </c>
      <c r="G52" s="11" t="str">
        <f>+_xlfn.XLOOKUP($N52,'[1]Cbonds export 05.20.2025'!$K:$K,'[1]Cbonds export 05.20.2025'!$G:$G,1,0,1)</f>
        <v>25/03/2031</v>
      </c>
      <c r="H52" s="12">
        <f t="shared" si="0"/>
        <v>2031</v>
      </c>
      <c r="I52" s="13">
        <f>_xlfn.XLOOKUP(Bonos[[#This Row],[ISIN]],[2]bonos!$AG$2:$AG$220,[2]bonos!$H$2:$H$220)</f>
        <v>90.408500000000004</v>
      </c>
      <c r="J52" s="13">
        <f>_xlfn.XLOOKUP(Bonos[[#This Row],[ISIN]],[2]bonos!$AG$2:$AG$220,[2]bonos!$K$2:$K$220)</f>
        <v>5.1195611694260004</v>
      </c>
      <c r="K52" s="13">
        <f>_xlfn.XLOOKUP(Bonos[[#This Row],[ISIN]],[2]bonos!$AG$2:$AG$220,[2]bonos!$AP$2:$AP$220)</f>
        <v>88.923315379433006</v>
      </c>
      <c r="L52" s="13">
        <v>4.8767534636613004</v>
      </c>
      <c r="M52" s="14">
        <f>+_xlfn.XLOOKUP($N52,'[1]Cbonds export 05.20.2025'!$K:$K,'[1]Cbonds export 05.20.2025'!$J:$J,1,0,1)</f>
        <v>2000</v>
      </c>
      <c r="N52" s="15" t="s">
        <v>103</v>
      </c>
      <c r="O52" s="16">
        <v>1250000000</v>
      </c>
      <c r="P52" s="17" t="s">
        <v>161</v>
      </c>
    </row>
    <row r="53" spans="1:16">
      <c r="A53" s="8" t="str">
        <f>+_xlfn.XLOOKUP($N53,'[1]Cbonds export 05.20.2025'!$K:$K,'[1]Cbonds export 05.20.2025'!$B:$B,1,0,1)</f>
        <v>EQT</v>
      </c>
      <c r="B53" s="9" t="str">
        <f>+_xlfn.XLOOKUP($N53,'[1]Cbonds export 05.20.2025'!$K:$K,'[1]Cbonds export 05.20.2025'!$C:$C,1,0,1)</f>
        <v>Oil and Gas Extraction and Refining</v>
      </c>
      <c r="C53" s="9" t="s">
        <v>75</v>
      </c>
      <c r="D53" s="20" t="s">
        <v>12</v>
      </c>
      <c r="E53" s="9" t="str">
        <f>+_xlfn.XLOOKUP($N53,'[1]Cbonds export 05.20.2025'!$K:$K,'[1]Cbonds export 05.20.2025'!$D:$D,1,0,1)</f>
        <v>Withdrawn/BBB-/BBB-</v>
      </c>
      <c r="F53" s="10">
        <f>+_xlfn.XLOOKUP($N53,'[1]Cbonds export 05.20.2025'!$K:$K,'[1]Cbonds export 05.20.2025'!$F:$F,1,0,1)</f>
        <v>3.6249999999999998E-2</v>
      </c>
      <c r="G53" s="11" t="str">
        <f>+_xlfn.XLOOKUP($N53,'[1]Cbonds export 05.20.2025'!$K:$K,'[1]Cbonds export 05.20.2025'!$G:$G,1,0,1)</f>
        <v>15/05/2031</v>
      </c>
      <c r="H53" s="12">
        <f t="shared" si="0"/>
        <v>2031</v>
      </c>
      <c r="I53" s="13">
        <f>_xlfn.XLOOKUP(Bonos[[#This Row],[ISIN]],[2]bonos!$AG$2:$AG$220,[2]bonos!$H$2:$H$220)</f>
        <v>92.59</v>
      </c>
      <c r="J53" s="13">
        <f>_xlfn.XLOOKUP(Bonos[[#This Row],[ISIN]],[2]bonos!$AG$2:$AG$220,[2]bonos!$K$2:$K$220)</f>
        <v>5.4655897091694996</v>
      </c>
      <c r="K53" s="13">
        <f>_xlfn.XLOOKUP(Bonos[[#This Row],[ISIN]],[2]bonos!$AG$2:$AG$220,[2]bonos!$AP$2:$AP$220)</f>
        <v>123.21302337231</v>
      </c>
      <c r="L53" s="13">
        <v>5.2268554977413002</v>
      </c>
      <c r="M53" s="14">
        <f>+_xlfn.XLOOKUP($N53,'[1]Cbonds export 05.20.2025'!$K:$K,'[1]Cbonds export 05.20.2025'!$J:$J,1,0,1)</f>
        <v>2000</v>
      </c>
      <c r="N53" s="15" t="s">
        <v>104</v>
      </c>
      <c r="O53" s="16">
        <v>500000000</v>
      </c>
      <c r="P53" s="17" t="s">
        <v>161</v>
      </c>
    </row>
    <row r="54" spans="1:16">
      <c r="A54" s="21" t="str">
        <f>+_xlfn.XLOOKUP($N54,'[1]Cbonds export 05.20.2025'!$K:$K,'[1]Cbonds export 05.20.2025'!$B:$B,1,0,1)</f>
        <v>Whirlpool</v>
      </c>
      <c r="B54" s="22" t="str">
        <f>+_xlfn.XLOOKUP($N54,'[1]Cbonds export 05.20.2025'!$K:$K,'[1]Cbonds export 05.20.2025'!$C:$C,1,0,1)</f>
        <v>Domestic Appliances</v>
      </c>
      <c r="C54" s="22" t="s">
        <v>105</v>
      </c>
      <c r="D54" s="22" t="s">
        <v>21</v>
      </c>
      <c r="E54" s="22" t="s">
        <v>106</v>
      </c>
      <c r="F54" s="23">
        <f>+_xlfn.XLOOKUP($N54,'[1]Cbonds export 05.20.2025'!$K:$K,'[1]Cbonds export 05.20.2025'!$F:$F,1,0,1)</f>
        <v>2.4E-2</v>
      </c>
      <c r="G54" s="24" t="str">
        <f>+_xlfn.XLOOKUP($N54,'[1]Cbonds export 05.20.2025'!$K:$K,'[1]Cbonds export 05.20.2025'!$G:$G,1,0,1)</f>
        <v>15/05/2031</v>
      </c>
      <c r="H54" s="25">
        <f t="shared" si="0"/>
        <v>2031</v>
      </c>
      <c r="I54" s="26">
        <f>_xlfn.XLOOKUP(Bonos[[#This Row],[ISIN]],[2]bonos!$AG$2:$AG$220,[2]bonos!$H$2:$H$220)</f>
        <v>71.2</v>
      </c>
      <c r="J54" s="26">
        <f>_xlfn.XLOOKUP(Bonos[[#This Row],[ISIN]],[2]bonos!$AG$2:$AG$220,[2]bonos!$K$2:$K$220)</f>
        <v>10.358916231237</v>
      </c>
      <c r="K54" s="26">
        <f>_xlfn.XLOOKUP(Bonos[[#This Row],[ISIN]],[2]bonos!$AG$2:$AG$220,[2]bonos!$AP$2:$AP$220)</f>
        <v>612.04511247723997</v>
      </c>
      <c r="L54" s="26">
        <v>9.0926741364232999</v>
      </c>
      <c r="M54" s="27">
        <f>+_xlfn.XLOOKUP($N54,'[1]Cbonds export 05.20.2025'!$K:$K,'[1]Cbonds export 05.20.2025'!$J:$J,1,0,1)</f>
        <v>2000</v>
      </c>
      <c r="N54" s="28" t="s">
        <v>107</v>
      </c>
      <c r="O54" s="29">
        <v>300000000</v>
      </c>
      <c r="P54" s="17" t="s">
        <v>173</v>
      </c>
    </row>
    <row r="55" spans="1:16">
      <c r="A55" s="8" t="str">
        <f>+_xlfn.XLOOKUP($N55,'[1]Cbonds export 05.20.2025'!$K:$K,'[1]Cbonds export 05.20.2025'!$B:$B,1,0,1)</f>
        <v>Occidental Petroleum</v>
      </c>
      <c r="B55" s="9" t="str">
        <f>+_xlfn.XLOOKUP($N55,'[1]Cbonds export 05.20.2025'!$K:$K,'[1]Cbonds export 05.20.2025'!$C:$C,1,0,1)</f>
        <v>Oil and Gas Extraction and Refining</v>
      </c>
      <c r="C55" s="9" t="s">
        <v>108</v>
      </c>
      <c r="D55" s="9" t="s">
        <v>21</v>
      </c>
      <c r="E55" s="9" t="s">
        <v>109</v>
      </c>
      <c r="F55" s="36">
        <f>+_xlfn.XLOOKUP($N55,'[1]Cbonds export 05.20.2025'!$K:$K,'[1]Cbonds export 05.20.2025'!$F:$F,1,0,1)</f>
        <v>7.8750000000000001E-2</v>
      </c>
      <c r="G55" s="11" t="str">
        <f>+_xlfn.XLOOKUP($N55,'[1]Cbonds export 05.20.2025'!$K:$K,'[1]Cbonds export 05.20.2025'!$G:$G,1,0,1)</f>
        <v>15/09/2031</v>
      </c>
      <c r="H55" s="12">
        <f t="shared" si="0"/>
        <v>2031</v>
      </c>
      <c r="I55" s="13">
        <f>_xlfn.XLOOKUP(Bonos[[#This Row],[ISIN]],[2]bonos!$AG$2:$AG$220,[2]bonos!$H$2:$H$220)</f>
        <v>112</v>
      </c>
      <c r="J55" s="13">
        <f>_xlfn.XLOOKUP(Bonos[[#This Row],[ISIN]],[2]bonos!$AG$2:$AG$220,[2]bonos!$K$2:$K$220)</f>
        <v>5.2534529008212996</v>
      </c>
      <c r="K55" s="13">
        <f>_xlfn.XLOOKUP(Bonos[[#This Row],[ISIN]],[2]bonos!$AG$2:$AG$220,[2]bonos!$AP$2:$AP$220)</f>
        <v>102.84299880966999</v>
      </c>
      <c r="L55" s="13">
        <v>5.1303234644179003</v>
      </c>
      <c r="M55" s="14">
        <f>+_xlfn.XLOOKUP($N55,'[1]Cbonds export 05.20.2025'!$K:$K,'[1]Cbonds export 05.20.2025'!$J:$J,1,0,1)</f>
        <v>1000</v>
      </c>
      <c r="N55" s="15" t="s">
        <v>110</v>
      </c>
      <c r="O55" s="16">
        <v>484677000</v>
      </c>
      <c r="P55" s="17" t="s">
        <v>161</v>
      </c>
    </row>
    <row r="56" spans="1:16">
      <c r="A56" s="21" t="str">
        <f>+_xlfn.XLOOKUP($N56,'[1]Cbonds export 05.20.2025'!$K:$K,'[1]Cbonds export 05.20.2025'!$B:$B,1,0,1)</f>
        <v>Falabella</v>
      </c>
      <c r="B56" s="22" t="str">
        <f>+_xlfn.XLOOKUP($N56,'[1]Cbonds export 05.20.2025'!$K:$K,'[1]Cbonds export 05.20.2025'!$C:$C,1,0,1)</f>
        <v>Specialty Retailers</v>
      </c>
      <c r="C56" s="22" t="s">
        <v>155</v>
      </c>
      <c r="D56" s="22" t="s">
        <v>21</v>
      </c>
      <c r="E56" s="22" t="s">
        <v>158</v>
      </c>
      <c r="F56" s="23">
        <f>+_xlfn.XLOOKUP($N56,'[1]Cbonds export 05.20.2025'!$K:$K,'[1]Cbonds export 05.20.2025'!$F:$F,1,0,1)</f>
        <v>3.3750000000000002E-2</v>
      </c>
      <c r="G56" s="24" t="str">
        <f>+_xlfn.XLOOKUP($N56,'[1]Cbonds export 05.20.2025'!$K:$K,'[1]Cbonds export 05.20.2025'!$G:$G,1,0,1)</f>
        <v>15/01/2032</v>
      </c>
      <c r="H56" s="25">
        <f t="shared" si="0"/>
        <v>2032</v>
      </c>
      <c r="I56" s="26">
        <f>_xlfn.XLOOKUP(Bonos[[#This Row],[ISIN]],[2]bonos!$AG$2:$AG$220,[2]bonos!$H$2:$H$220)</f>
        <v>89.665000000000006</v>
      </c>
      <c r="J56" s="26">
        <f>_xlfn.XLOOKUP(Bonos[[#This Row],[ISIN]],[2]bonos!$AG$2:$AG$220,[2]bonos!$K$2:$K$220)</f>
        <v>5.6693575747171998</v>
      </c>
      <c r="K56" s="26">
        <f>_xlfn.XLOOKUP(Bonos[[#This Row],[ISIN]],[2]bonos!$AG$2:$AG$220,[2]bonos!$AP$2:$AP$220)</f>
        <v>139.69353136211001</v>
      </c>
      <c r="L56" s="26">
        <v>5.4688768811572004</v>
      </c>
      <c r="M56" s="27">
        <f>+_xlfn.XLOOKUP($N56,'[1]Cbonds export 05.20.2025'!$K:$K,'[1]Cbonds export 05.20.2025'!$J:$J,1,0,1)</f>
        <v>200000</v>
      </c>
      <c r="N56" s="28" t="s">
        <v>159</v>
      </c>
      <c r="O56" s="29">
        <v>650000000</v>
      </c>
      <c r="P56" s="17" t="s">
        <v>161</v>
      </c>
    </row>
    <row r="57" spans="1:16">
      <c r="A57" s="19" t="s">
        <v>93</v>
      </c>
      <c r="B57" s="9" t="s">
        <v>92</v>
      </c>
      <c r="C57" s="9" t="s">
        <v>93</v>
      </c>
      <c r="D57" s="9" t="s">
        <v>12</v>
      </c>
      <c r="E57" s="9" t="s">
        <v>43</v>
      </c>
      <c r="F57" s="36">
        <v>4.2790000000000002E-2</v>
      </c>
      <c r="G57" s="11">
        <v>48288</v>
      </c>
      <c r="H57" s="12">
        <f t="shared" si="0"/>
        <v>2032</v>
      </c>
      <c r="I57" s="13">
        <f>_xlfn.XLOOKUP(Bonos[[#This Row],[ISIN]],[2]bonos!$AG$2:$AG$220,[2]bonos!$H$2:$H$220)</f>
        <v>91.35</v>
      </c>
      <c r="J57" s="13">
        <f>_xlfn.XLOOKUP(Bonos[[#This Row],[ISIN]],[2]bonos!$AG$2:$AG$220,[2]bonos!$K$2:$K$220)</f>
        <v>6.2060902779280003</v>
      </c>
      <c r="K57" s="13">
        <f>_xlfn.XLOOKUP(Bonos[[#This Row],[ISIN]],[2]bonos!$AG$2:$AG$220,[2]bonos!$AP$2:$AP$220)</f>
        <v>193.71209862641001</v>
      </c>
      <c r="L57" s="13">
        <v>6.4012437882361999</v>
      </c>
      <c r="M57" s="14">
        <v>2000</v>
      </c>
      <c r="N57" s="15" t="s">
        <v>111</v>
      </c>
      <c r="O57" s="16">
        <v>2760600000</v>
      </c>
      <c r="P57" s="17" t="s">
        <v>161</v>
      </c>
    </row>
    <row r="58" spans="1:16">
      <c r="A58" s="8" t="str">
        <f>+_xlfn.XLOOKUP($N58,'[1]Cbonds export 05.20.2025'!$K:$K,'[1]Cbonds export 05.20.2025'!$B:$B,1,0,1)</f>
        <v>Tapestry</v>
      </c>
      <c r="B58" s="9" t="str">
        <f>+_xlfn.XLOOKUP($N58,'[1]Cbonds export 05.20.2025'!$K:$K,'[1]Cbonds export 05.20.2025'!$C:$C,1,0,1)</f>
        <v>Specialty Retailers</v>
      </c>
      <c r="C58" s="9" t="s">
        <v>112</v>
      </c>
      <c r="D58" s="9" t="s">
        <v>12</v>
      </c>
      <c r="E58" s="9" t="str">
        <f>+_xlfn.XLOOKUP($N58,'[1]Cbonds export 05.20.2025'!$K:$K,'[1]Cbonds export 05.20.2025'!$D:$D,1,0,1)</f>
        <v>Baa2/BBB/Withdrawn</v>
      </c>
      <c r="F58" s="36">
        <f>+_xlfn.XLOOKUP($N58,'[1]Cbonds export 05.20.2025'!$K:$K,'[1]Cbonds export 05.20.2025'!$F:$F,1,0,1)</f>
        <v>3.0499999999999999E-2</v>
      </c>
      <c r="G58" s="11" t="str">
        <f>+_xlfn.XLOOKUP($N58,'[1]Cbonds export 05.20.2025'!$K:$K,'[1]Cbonds export 05.20.2025'!$G:$G,1,0,1)</f>
        <v>15/03/2032</v>
      </c>
      <c r="H58" s="12">
        <f t="shared" si="0"/>
        <v>2032</v>
      </c>
      <c r="I58" s="13">
        <f>_xlfn.XLOOKUP(Bonos[[#This Row],[ISIN]],[2]bonos!$AG$2:$AG$220,[2]bonos!$H$2:$H$220)</f>
        <v>89.334999999999994</v>
      </c>
      <c r="J58" s="13">
        <f>_xlfn.XLOOKUP(Bonos[[#This Row],[ISIN]],[2]bonos!$AG$2:$AG$220,[2]bonos!$K$2:$K$220)</f>
        <v>5.3264553980798004</v>
      </c>
      <c r="K58" s="13">
        <f>_xlfn.XLOOKUP(Bonos[[#This Row],[ISIN]],[2]bonos!$AG$2:$AG$220,[2]bonos!$AP$2:$AP$220)</f>
        <v>104.58634938233</v>
      </c>
      <c r="L58" s="13">
        <v>5.0720630206267003</v>
      </c>
      <c r="M58" s="14">
        <f>+_xlfn.XLOOKUP($N58,'[1]Cbonds export 05.20.2025'!$K:$K,'[1]Cbonds export 05.20.2025'!$J:$J,1,0,1)</f>
        <v>2000</v>
      </c>
      <c r="N58" s="15" t="s">
        <v>113</v>
      </c>
      <c r="O58" s="16">
        <v>500000000</v>
      </c>
      <c r="P58" s="17" t="s">
        <v>161</v>
      </c>
    </row>
    <row r="59" spans="1:16">
      <c r="A59" s="8" t="str">
        <f>+_xlfn.XLOOKUP($N59,'[1]Cbonds export 05.20.2025'!$K:$K,'[1]Cbonds export 05.20.2025'!$B:$B,1,0,1)</f>
        <v>Occidental Petroleum</v>
      </c>
      <c r="B59" s="9" t="str">
        <f>+_xlfn.XLOOKUP($N59,'[1]Cbonds export 05.20.2025'!$K:$K,'[1]Cbonds export 05.20.2025'!$C:$C,1,0,1)</f>
        <v>Oil and Gas Extraction and Refining</v>
      </c>
      <c r="C59" s="9" t="s">
        <v>108</v>
      </c>
      <c r="D59" s="9" t="s">
        <v>21</v>
      </c>
      <c r="E59" s="9" t="str">
        <f>+_xlfn.XLOOKUP($N59,'[1]Cbonds export 05.20.2025'!$K:$K,'[1]Cbonds export 05.20.2025'!$D:$D,1,0,1)</f>
        <v>Withdrawn/BB+/BBB-</v>
      </c>
      <c r="F59" s="36">
        <f>+_xlfn.XLOOKUP($N59,'[1]Cbonds export 05.20.2025'!$K:$K,'[1]Cbonds export 05.20.2025'!$F:$F,1,0,1)</f>
        <v>5.3749999999999999E-2</v>
      </c>
      <c r="G59" s="11">
        <f>+_xlfn.XLOOKUP($N59,'[1]Cbonds export 05.20.2025'!$K:$K,'[1]Cbonds export 05.20.2025'!$G:$G,1,0,1)</f>
        <v>48214</v>
      </c>
      <c r="H59" s="12">
        <f t="shared" si="0"/>
        <v>2032</v>
      </c>
      <c r="I59" s="13">
        <f>_xlfn.XLOOKUP(Bonos[[#This Row],[ISIN]],[2]bonos!$AG$2:$AG$220,[2]bonos!$H$2:$H$220)</f>
        <v>100.65949999999999</v>
      </c>
      <c r="J59" s="13">
        <f>_xlfn.XLOOKUP(Bonos[[#This Row],[ISIN]],[2]bonos!$AG$2:$AG$220,[2]bonos!$K$2:$K$220)</f>
        <v>5.3017698521792003</v>
      </c>
      <c r="K59" s="13">
        <f>_xlfn.XLOOKUP(Bonos[[#This Row],[ISIN]],[2]bonos!$AG$2:$AG$220,[2]bonos!$AP$2:$AP$220)</f>
        <v>104.48845243629</v>
      </c>
      <c r="L59" s="13">
        <v>5.0642586010107999</v>
      </c>
      <c r="M59" s="14">
        <f>+_xlfn.XLOOKUP($N59,'[1]Cbonds export 05.20.2025'!$K:$K,'[1]Cbonds export 05.20.2025'!$J:$J,1,0,1)</f>
        <v>2000</v>
      </c>
      <c r="N59" s="15" t="s">
        <v>114</v>
      </c>
      <c r="O59" s="16">
        <v>1000000000</v>
      </c>
      <c r="P59" s="17" t="s">
        <v>161</v>
      </c>
    </row>
    <row r="60" spans="1:16">
      <c r="A60" s="19" t="str">
        <f>+_xlfn.XLOOKUP($N60,'[1]Cbonds export 05.20.2025'!$K:$K,'[1]Cbonds export 05.20.2025'!$B:$B,1,0,1)</f>
        <v>Methanex US Operations</v>
      </c>
      <c r="B60" s="20" t="str">
        <f>+_xlfn.XLOOKUP($N60,'[1]Cbonds export 05.20.2025'!$K:$K,'[1]Cbonds export 05.20.2025'!$C:$C,1,0,1)</f>
        <v>Food and Beverage Production</v>
      </c>
      <c r="C60" s="20" t="s">
        <v>52</v>
      </c>
      <c r="D60" s="20" t="s">
        <v>21</v>
      </c>
      <c r="E60" s="20" t="str">
        <f>+_xlfn.XLOOKUP($N60,'[1]Cbonds export 05.20.2025'!$K:$K,'[1]Cbonds export 05.20.2025'!$D:$D,1,0,1)</f>
        <v>-/-/BB+</v>
      </c>
      <c r="F60" s="32">
        <f>+_xlfn.XLOOKUP($N60,'[1]Cbonds export 05.20.2025'!$K:$K,'[1]Cbonds export 05.20.2025'!$F:$F,1,0,1)</f>
        <v>6.25E-2</v>
      </c>
      <c r="G60" s="33" t="str">
        <f>+_xlfn.XLOOKUP($N60,'[1]Cbonds export 05.20.2025'!$K:$K,'[1]Cbonds export 05.20.2025'!$G:$G,1,0,1)</f>
        <v>15/03/2032</v>
      </c>
      <c r="H60" s="12">
        <f t="shared" si="0"/>
        <v>2032</v>
      </c>
      <c r="I60" s="13">
        <f>_xlfn.XLOOKUP(Bonos[[#This Row],[ISIN]],[2]bonos!$AG$2:$AG$220,[2]bonos!$H$2:$H$220)</f>
        <v>101.22</v>
      </c>
      <c r="J60" s="13">
        <f>_xlfn.XLOOKUP(Bonos[[#This Row],[ISIN]],[2]bonos!$AG$2:$AG$220,[2]bonos!$K$2:$K$220)</f>
        <v>6.0798164504439001</v>
      </c>
      <c r="K60" s="13">
        <f>_xlfn.XLOOKUP(Bonos[[#This Row],[ISIN]],[2]bonos!$AG$2:$AG$220,[2]bonos!$AP$2:$AP$220)</f>
        <v>182.48566773145001</v>
      </c>
      <c r="L60" s="13">
        <v>6.1261381346982002</v>
      </c>
      <c r="M60" s="14">
        <f>+_xlfn.XLOOKUP($N60,'[1]Cbonds export 05.20.2025'!$K:$K,'[1]Cbonds export 05.20.2025'!$J:$J,1,0,1)</f>
        <v>2000</v>
      </c>
      <c r="N60" s="35" t="s">
        <v>115</v>
      </c>
      <c r="O60" s="16">
        <v>600000000</v>
      </c>
      <c r="P60" s="17" t="s">
        <v>161</v>
      </c>
    </row>
    <row r="61" spans="1:16">
      <c r="A61" s="8" t="str">
        <f>+_xlfn.XLOOKUP($N61,'[1]Cbonds export 05.20.2025'!$K:$K,'[1]Cbonds export 05.20.2025'!$B:$B,1,0,1)</f>
        <v>British American Tobacco</v>
      </c>
      <c r="B61" s="9" t="str">
        <f>+_xlfn.XLOOKUP($N61,'[1]Cbonds export 05.20.2025'!$K:$K,'[1]Cbonds export 05.20.2025'!$C:$C,1,0,1)</f>
        <v>Tobacco</v>
      </c>
      <c r="C61" s="9" t="s">
        <v>102</v>
      </c>
      <c r="D61" s="9" t="s">
        <v>12</v>
      </c>
      <c r="E61" s="9" t="str">
        <f>+_xlfn.XLOOKUP($N61,'[1]Cbonds export 05.20.2025'!$K:$K,'[1]Cbonds export 05.20.2025'!$D:$D,1,0,1)</f>
        <v>Baa1/BBB+/BBB+</v>
      </c>
      <c r="F61" s="36">
        <f>+_xlfn.XLOOKUP($N61,'[1]Cbonds export 05.20.2025'!$K:$K,'[1]Cbonds export 05.20.2025'!$F:$F,1,0,1)</f>
        <v>4.7419999999999997E-2</v>
      </c>
      <c r="G61" s="11" t="str">
        <f>+_xlfn.XLOOKUP($N61,'[1]Cbonds export 05.20.2025'!$K:$K,'[1]Cbonds export 05.20.2025'!$G:$G,1,0,1)</f>
        <v>16/03/2032</v>
      </c>
      <c r="H61" s="12">
        <f t="shared" si="0"/>
        <v>2032</v>
      </c>
      <c r="I61" s="13">
        <f>_xlfn.XLOOKUP(Bonos[[#This Row],[ISIN]],[2]bonos!$AG$2:$AG$220,[2]bonos!$H$2:$H$220)</f>
        <v>98.137500000000003</v>
      </c>
      <c r="J61" s="13">
        <f>_xlfn.XLOOKUP(Bonos[[#This Row],[ISIN]],[2]bonos!$AG$2:$AG$220,[2]bonos!$K$2:$K$220)</f>
        <v>5.1903522881253998</v>
      </c>
      <c r="K61" s="13">
        <f>_xlfn.XLOOKUP(Bonos[[#This Row],[ISIN]],[2]bonos!$AG$2:$AG$220,[2]bonos!$AP$2:$AP$220)</f>
        <v>92.336058409939</v>
      </c>
      <c r="L61" s="13">
        <v>4.9393697303708999</v>
      </c>
      <c r="M61" s="14">
        <f>+_xlfn.XLOOKUP($N61,'[1]Cbonds export 05.20.2025'!$K:$K,'[1]Cbonds export 05.20.2025'!$J:$J,1,0,1)</f>
        <v>2000</v>
      </c>
      <c r="N61" s="15" t="s">
        <v>116</v>
      </c>
      <c r="O61" s="16">
        <v>900000000</v>
      </c>
      <c r="P61" s="17" t="s">
        <v>161</v>
      </c>
    </row>
    <row r="62" spans="1:16">
      <c r="A62" s="21" t="str">
        <f>+_xlfn.XLOOKUP($N62,'[1]Cbonds export 05.20.2025'!$K:$K,'[1]Cbonds export 05.20.2025'!$B:$B,1,0,1)</f>
        <v>Whirlpool</v>
      </c>
      <c r="B62" s="22" t="str">
        <f>+_xlfn.XLOOKUP($N62,'[1]Cbonds export 05.20.2025'!$K:$K,'[1]Cbonds export 05.20.2025'!$C:$C,1,0,1)</f>
        <v>Domestic Appliances</v>
      </c>
      <c r="C62" s="22" t="s">
        <v>105</v>
      </c>
      <c r="D62" s="22" t="s">
        <v>21</v>
      </c>
      <c r="E62" s="22" t="s">
        <v>117</v>
      </c>
      <c r="F62" s="23">
        <f>+_xlfn.XLOOKUP($N62,'[1]Cbonds export 05.20.2025'!$K:$K,'[1]Cbonds export 05.20.2025'!$F:$F,1,0,1)</f>
        <v>4.7E-2</v>
      </c>
      <c r="G62" s="24" t="str">
        <f>+_xlfn.XLOOKUP($N62,'[1]Cbonds export 05.20.2025'!$K:$K,'[1]Cbonds export 05.20.2025'!$G:$G,1,0,1)</f>
        <v>14/05/2032</v>
      </c>
      <c r="H62" s="25">
        <f t="shared" si="0"/>
        <v>2032</v>
      </c>
      <c r="I62" s="26">
        <f>_xlfn.XLOOKUP(Bonos[[#This Row],[ISIN]],[2]bonos!$AG$2:$AG$220,[2]bonos!$H$2:$H$220)</f>
        <v>74.254999999999995</v>
      </c>
      <c r="J62" s="26">
        <f>_xlfn.XLOOKUP(Bonos[[#This Row],[ISIN]],[2]bonos!$AG$2:$AG$220,[2]bonos!$K$2:$K$220)</f>
        <v>11.064452371603</v>
      </c>
      <c r="K62" s="26">
        <f>_xlfn.XLOOKUP(Bonos[[#This Row],[ISIN]],[2]bonos!$AG$2:$AG$220,[2]bonos!$AP$2:$AP$220)</f>
        <v>679.54222114839001</v>
      </c>
      <c r="L62" s="26">
        <v>9.5653205508415997</v>
      </c>
      <c r="M62" s="27">
        <f>+_xlfn.XLOOKUP($N62,'[1]Cbonds export 05.20.2025'!$K:$K,'[1]Cbonds export 05.20.2025'!$J:$J,1,0,1)</f>
        <v>2000</v>
      </c>
      <c r="N62" s="38" t="s">
        <v>118</v>
      </c>
      <c r="O62" s="29">
        <v>300000000</v>
      </c>
      <c r="P62" s="17" t="s">
        <v>173</v>
      </c>
    </row>
    <row r="63" spans="1:16">
      <c r="A63" s="8" t="s">
        <v>119</v>
      </c>
      <c r="B63" s="9" t="s">
        <v>42</v>
      </c>
      <c r="C63" s="9" t="s">
        <v>119</v>
      </c>
      <c r="D63" s="9" t="s">
        <v>12</v>
      </c>
      <c r="E63" s="9" t="s">
        <v>17</v>
      </c>
      <c r="F63" s="36">
        <v>4.7500000000000001E-2</v>
      </c>
      <c r="G63" s="11">
        <v>48215</v>
      </c>
      <c r="H63" s="12">
        <f t="shared" si="0"/>
        <v>2032</v>
      </c>
      <c r="I63" s="13">
        <f>_xlfn.XLOOKUP(Bonos[[#This Row],[ISIN]],[2]bonos!$AG$2:$AG$220,[2]bonos!$H$2:$H$220)</f>
        <v>96.6</v>
      </c>
      <c r="J63" s="13">
        <f>_xlfn.XLOOKUP(Bonos[[#This Row],[ISIN]],[2]bonos!$AG$2:$AG$220,[2]bonos!$K$2:$K$220)</f>
        <v>5.5462448562795998</v>
      </c>
      <c r="K63" s="13">
        <f>_xlfn.XLOOKUP(Bonos[[#This Row],[ISIN]],[2]bonos!$AG$2:$AG$220,[2]bonos!$AP$2:$AP$220)</f>
        <v>128.79822976643001</v>
      </c>
      <c r="L63" s="13">
        <v>5.3686118665361002</v>
      </c>
      <c r="M63" s="14">
        <v>2000</v>
      </c>
      <c r="N63" s="15" t="s">
        <v>120</v>
      </c>
      <c r="O63" s="16">
        <v>1150000000</v>
      </c>
      <c r="P63" s="17" t="s">
        <v>161</v>
      </c>
    </row>
    <row r="64" spans="1:16">
      <c r="A64" s="8" t="str">
        <f>+_xlfn.XLOOKUP($N64,'[1]Cbonds export 05.20.2025'!$K:$K,'[1]Cbonds export 05.20.2025'!$B:$B,1,0,1)</f>
        <v>Micron Technology</v>
      </c>
      <c r="B64" s="9" t="str">
        <f>+_xlfn.XLOOKUP($N64,'[1]Cbonds export 05.20.2025'!$K:$K,'[1]Cbonds export 05.20.2025'!$C:$C,1,0,1)</f>
        <v>Semiconductors</v>
      </c>
      <c r="C64" s="9" t="s">
        <v>99</v>
      </c>
      <c r="D64" s="9" t="s">
        <v>12</v>
      </c>
      <c r="E64" s="9" t="s">
        <v>121</v>
      </c>
      <c r="F64" s="36">
        <f>+_xlfn.XLOOKUP($N64,'[1]Cbonds export 05.20.2025'!$K:$K,'[1]Cbonds export 05.20.2025'!$F:$F,1,0,1)</f>
        <v>5.6500000000000002E-2</v>
      </c>
      <c r="G64" s="11">
        <f>+_xlfn.XLOOKUP($N64,'[1]Cbonds export 05.20.2025'!$K:$K,'[1]Cbonds export 05.20.2025'!$G:$G,1,0,1)</f>
        <v>48224</v>
      </c>
      <c r="H64" s="12">
        <f t="shared" si="0"/>
        <v>2032</v>
      </c>
      <c r="I64" s="13">
        <f>_xlfn.XLOOKUP(Bonos[[#This Row],[ISIN]],[2]bonos!$AG$2:$AG$220,[2]bonos!$H$2:$H$220)</f>
        <v>101.45</v>
      </c>
      <c r="J64" s="13">
        <f>_xlfn.XLOOKUP(Bonos[[#This Row],[ISIN]],[2]bonos!$AG$2:$AG$220,[2]bonos!$K$2:$K$220)</f>
        <v>5.4450174366809998</v>
      </c>
      <c r="K64" s="13">
        <f>_xlfn.XLOOKUP(Bonos[[#This Row],[ISIN]],[2]bonos!$AG$2:$AG$220,[2]bonos!$AP$2:$AP$220)</f>
        <v>115.28441250944</v>
      </c>
      <c r="L64" s="13">
        <v>5.1199812746477997</v>
      </c>
      <c r="M64" s="14">
        <f>+_xlfn.XLOOKUP($N64,'[1]Cbonds export 05.20.2025'!$K:$K,'[1]Cbonds export 05.20.2025'!$J:$J,1,0,1)</f>
        <v>2000</v>
      </c>
      <c r="N64" s="15" t="s">
        <v>122</v>
      </c>
      <c r="O64" s="16">
        <v>500000000</v>
      </c>
      <c r="P64" s="17" t="s">
        <v>161</v>
      </c>
    </row>
    <row r="65" spans="1:16">
      <c r="A65" s="8" t="s">
        <v>140</v>
      </c>
      <c r="B65" s="9" t="s">
        <v>42</v>
      </c>
      <c r="C65" s="9" t="str">
        <f>+A65</f>
        <v>HF Sinclair</v>
      </c>
      <c r="D65" s="9" t="s">
        <v>12</v>
      </c>
      <c r="E65" s="9" t="s">
        <v>17</v>
      </c>
      <c r="F65" s="10">
        <v>5.5E-2</v>
      </c>
      <c r="G65" s="11">
        <v>48458</v>
      </c>
      <c r="H65" s="12">
        <v>2032</v>
      </c>
      <c r="I65" s="13">
        <f>_xlfn.XLOOKUP(Bonos[[#This Row],[ISIN]],[2]bonos!$AG$2:$AG$220,[2]bonos!$H$2:$H$220)</f>
        <v>99.830290000000005</v>
      </c>
      <c r="J65" s="13">
        <f>_xlfn.XLOOKUP(Bonos[[#This Row],[ISIN]],[2]bonos!$AG$2:$AG$220,[2]bonos!$K$2:$K$220)</f>
        <v>5.6084038561996996</v>
      </c>
      <c r="K65" s="13">
        <f>_xlfn.XLOOKUP(Bonos[[#This Row],[ISIN]],[2]bonos!$AG$2:$AG$220,[2]bonos!$AP$2:$AP$220)</f>
        <v>132.64776343579999</v>
      </c>
      <c r="L65" s="13">
        <v>5.2464322657264004</v>
      </c>
      <c r="M65" s="14">
        <v>2000</v>
      </c>
      <c r="N65" s="15" t="s">
        <v>123</v>
      </c>
      <c r="O65" s="16">
        <v>500000000</v>
      </c>
      <c r="P65" s="17" t="s">
        <v>161</v>
      </c>
    </row>
    <row r="66" spans="1:16">
      <c r="A66" s="8" t="s">
        <v>139</v>
      </c>
      <c r="B66" s="9" t="s">
        <v>34</v>
      </c>
      <c r="C66" s="9" t="str">
        <f>+A66</f>
        <v>Macy´s</v>
      </c>
      <c r="D66" s="9" t="s">
        <v>21</v>
      </c>
      <c r="E66" s="9" t="s">
        <v>77</v>
      </c>
      <c r="F66" s="36">
        <v>6.9000000000000006E-2</v>
      </c>
      <c r="G66" s="11">
        <v>48349</v>
      </c>
      <c r="H66" s="12">
        <v>2032</v>
      </c>
      <c r="I66" s="13">
        <f>_xlfn.XLOOKUP(Bonos[[#This Row],[ISIN]],[2]bonos!$AG$2:$AG$220,[2]bonos!$H$2:$H$220)</f>
        <v>96.5</v>
      </c>
      <c r="J66" s="13">
        <f>_xlfn.XLOOKUP(Bonos[[#This Row],[ISIN]],[2]bonos!$AG$2:$AG$220,[2]bonos!$K$2:$K$220)</f>
        <v>7.8425335089162003</v>
      </c>
      <c r="K66" s="13">
        <f>_xlfn.XLOOKUP(Bonos[[#This Row],[ISIN]],[2]bonos!$AG$2:$AG$220,[2]bonos!$AP$2:$AP$220)</f>
        <v>359.51228942138999</v>
      </c>
      <c r="L66" s="13">
        <v>7.8368882215886</v>
      </c>
      <c r="M66" s="14">
        <v>1000</v>
      </c>
      <c r="N66" s="15" t="s">
        <v>124</v>
      </c>
      <c r="O66" s="16">
        <v>250000000</v>
      </c>
      <c r="P66" s="17" t="s">
        <v>161</v>
      </c>
    </row>
    <row r="67" spans="1:16">
      <c r="A67" s="39" t="s">
        <v>102</v>
      </c>
      <c r="B67" s="9" t="s">
        <v>125</v>
      </c>
      <c r="C67" s="9" t="s">
        <v>102</v>
      </c>
      <c r="D67" s="9" t="s">
        <v>12</v>
      </c>
      <c r="E67" s="20" t="s">
        <v>126</v>
      </c>
      <c r="F67" s="40">
        <v>6.4210000000000003E-2</v>
      </c>
      <c r="G67" s="33">
        <v>48793</v>
      </c>
      <c r="H67" s="41">
        <v>2033</v>
      </c>
      <c r="I67" s="13">
        <f>_xlfn.XLOOKUP(Bonos[[#This Row],[ISIN]],[2]bonos!$AG$2:$AG$220,[2]bonos!$H$2:$H$220)</f>
        <v>106.345</v>
      </c>
      <c r="J67" s="13">
        <f>_xlfn.XLOOKUP(Bonos[[#This Row],[ISIN]],[2]bonos!$AG$2:$AG$220,[2]bonos!$K$2:$K$220)</f>
        <v>5.3970440982665</v>
      </c>
      <c r="K67" s="13">
        <f>_xlfn.XLOOKUP(Bonos[[#This Row],[ISIN]],[2]bonos!$AG$2:$AG$220,[2]bonos!$AP$2:$AP$220)</f>
        <v>108.21583503986</v>
      </c>
      <c r="L67" s="13">
        <v>5.1640210219803997</v>
      </c>
      <c r="M67" s="34">
        <v>2000</v>
      </c>
      <c r="N67" s="35" t="s">
        <v>127</v>
      </c>
      <c r="O67" s="42">
        <v>1250000000</v>
      </c>
      <c r="P67" s="17" t="s">
        <v>161</v>
      </c>
    </row>
    <row r="68" spans="1:16">
      <c r="A68" s="8" t="s">
        <v>108</v>
      </c>
      <c r="B68" s="9" t="s">
        <v>134</v>
      </c>
      <c r="C68" s="9" t="s">
        <v>108</v>
      </c>
      <c r="D68" s="9" t="s">
        <v>21</v>
      </c>
      <c r="E68" s="9" t="s">
        <v>151</v>
      </c>
      <c r="F68" s="10">
        <v>5.6000000000000001E-2</v>
      </c>
      <c r="G68" s="11">
        <v>49218</v>
      </c>
      <c r="H68" s="12">
        <v>2034</v>
      </c>
      <c r="I68" s="13">
        <f>_xlfn.XLOOKUP(Bonos[[#This Row],[ISIN]],[2]bonos!$AG$2:$AG$220,[2]bonos!$H$2:$H$220)</f>
        <v>100.35850000000001</v>
      </c>
      <c r="J68" s="13">
        <f>_xlfn.XLOOKUP(Bonos[[#This Row],[ISIN]],[2]bonos!$AG$2:$AG$220,[2]bonos!$K$2:$K$220)</f>
        <v>5.5691708429039997</v>
      </c>
      <c r="K68" s="13">
        <f>_xlfn.XLOOKUP(Bonos[[#This Row],[ISIN]],[2]bonos!$AG$2:$AG$220,[2]bonos!$AP$2:$AP$220)</f>
        <v>118.94907886561001</v>
      </c>
      <c r="L68" s="13">
        <v>5.3474082910789997</v>
      </c>
      <c r="M68" s="14">
        <v>1000</v>
      </c>
      <c r="N68" s="15" t="s">
        <v>154</v>
      </c>
      <c r="O68" s="16">
        <v>1200000000</v>
      </c>
      <c r="P68" s="17" t="s">
        <v>161</v>
      </c>
    </row>
    <row r="69" spans="1:16">
      <c r="A69" s="39" t="s">
        <v>69</v>
      </c>
      <c r="B69" s="9" t="s">
        <v>68</v>
      </c>
      <c r="C69" s="9" t="s">
        <v>69</v>
      </c>
      <c r="D69" s="9" t="s">
        <v>12</v>
      </c>
      <c r="E69" s="9" t="s">
        <v>70</v>
      </c>
      <c r="F69" s="10">
        <v>5.3999999999999999E-2</v>
      </c>
      <c r="G69" s="11">
        <v>49589</v>
      </c>
      <c r="H69" s="12">
        <f>YEAR(G69)</f>
        <v>2035</v>
      </c>
      <c r="I69" s="13">
        <f>_xlfn.XLOOKUP(Bonos[[#This Row],[ISIN]],[2]bonos!$AG$2:$AG$220,[2]bonos!$H$2:$H$220)</f>
        <v>96.317999999999998</v>
      </c>
      <c r="J69" s="13">
        <f>_xlfn.XLOOKUP(Bonos[[#This Row],[ISIN]],[2]bonos!$AG$2:$AG$220,[2]bonos!$K$2:$K$220)</f>
        <v>6.0105975518405002</v>
      </c>
      <c r="K69" s="13">
        <f>_xlfn.XLOOKUP(Bonos[[#This Row],[ISIN]],[2]bonos!$AG$2:$AG$220,[2]bonos!$AP$2:$AP$220)</f>
        <v>156.68037460471001</v>
      </c>
      <c r="L69" s="13">
        <v>5.9627747994528999</v>
      </c>
      <c r="M69" s="14">
        <v>2000</v>
      </c>
      <c r="N69" s="15" t="s">
        <v>128</v>
      </c>
      <c r="O69" s="16">
        <v>600000000</v>
      </c>
      <c r="P69" s="17" t="s">
        <v>161</v>
      </c>
    </row>
    <row r="70" spans="1:16">
      <c r="A70" s="8" t="s">
        <v>83</v>
      </c>
      <c r="B70" s="9" t="s">
        <v>129</v>
      </c>
      <c r="C70" s="9" t="s">
        <v>83</v>
      </c>
      <c r="D70" s="9" t="s">
        <v>12</v>
      </c>
      <c r="E70" s="9" t="s">
        <v>57</v>
      </c>
      <c r="F70" s="10">
        <v>5.9799999999999999E-2</v>
      </c>
      <c r="G70" s="11">
        <v>49351</v>
      </c>
      <c r="H70" s="12">
        <v>2035</v>
      </c>
      <c r="I70" s="13">
        <f>_xlfn.XLOOKUP(Bonos[[#This Row],[ISIN]],[2]bonos!$AG$2:$AG$220,[2]bonos!$H$2:$H$220)</f>
        <v>102.9</v>
      </c>
      <c r="J70" s="13">
        <f>_xlfn.XLOOKUP(Bonos[[#This Row],[ISIN]],[2]bonos!$AG$2:$AG$220,[2]bonos!$K$2:$K$220)</f>
        <v>5.6258500906032998</v>
      </c>
      <c r="K70" s="13">
        <f>_xlfn.XLOOKUP(Bonos[[#This Row],[ISIN]],[2]bonos!$AG$2:$AG$220,[2]bonos!$AP$2:$AP$220)</f>
        <v>123.99159377725</v>
      </c>
      <c r="L70" s="13">
        <v>5.4373842285820997</v>
      </c>
      <c r="M70" s="14">
        <v>2000</v>
      </c>
      <c r="N70" s="15" t="s">
        <v>130</v>
      </c>
      <c r="O70" s="16">
        <v>650000000</v>
      </c>
      <c r="P70" s="17" t="s">
        <v>161</v>
      </c>
    </row>
    <row r="71" spans="1:16">
      <c r="A71" s="8" t="s">
        <v>112</v>
      </c>
      <c r="B71" s="9" t="s">
        <v>34</v>
      </c>
      <c r="C71" s="9" t="s">
        <v>112</v>
      </c>
      <c r="D71" s="9" t="s">
        <v>12</v>
      </c>
      <c r="E71" s="9" t="s">
        <v>131</v>
      </c>
      <c r="F71" s="36">
        <v>5.5E-2</v>
      </c>
      <c r="G71" s="11">
        <v>49379</v>
      </c>
      <c r="H71" s="12">
        <f>YEAR(G71)</f>
        <v>2035</v>
      </c>
      <c r="I71" s="13">
        <f>_xlfn.XLOOKUP(Bonos[[#This Row],[ISIN]],[2]bonos!$AG$2:$AG$220,[2]bonos!$H$2:$H$220)</f>
        <v>98.7</v>
      </c>
      <c r="J71" s="13">
        <f>_xlfn.XLOOKUP(Bonos[[#This Row],[ISIN]],[2]bonos!$AG$2:$AG$220,[2]bonos!$K$2:$K$220)</f>
        <v>5.7725722026141</v>
      </c>
      <c r="K71" s="13">
        <f>_xlfn.XLOOKUP(Bonos[[#This Row],[ISIN]],[2]bonos!$AG$2:$AG$220,[2]bonos!$AP$2:$AP$220)</f>
        <v>137.50043898965001</v>
      </c>
      <c r="L71" s="13">
        <v>5.5503247750032996</v>
      </c>
      <c r="M71" s="14">
        <v>2000</v>
      </c>
      <c r="N71" s="15" t="s">
        <v>132</v>
      </c>
      <c r="O71" s="16">
        <v>750000000</v>
      </c>
      <c r="P71" s="17" t="s">
        <v>161</v>
      </c>
    </row>
    <row r="72" spans="1:16">
      <c r="A72" s="8" t="s">
        <v>119</v>
      </c>
      <c r="B72" s="9" t="s">
        <v>42</v>
      </c>
      <c r="C72" s="9" t="s">
        <v>119</v>
      </c>
      <c r="D72" s="9" t="s">
        <v>12</v>
      </c>
      <c r="E72" s="9" t="s">
        <v>17</v>
      </c>
      <c r="F72" s="36">
        <v>5.7000000000000002E-2</v>
      </c>
      <c r="G72" s="11">
        <v>49324</v>
      </c>
      <c r="H72" s="12">
        <v>2035</v>
      </c>
      <c r="I72" s="13">
        <f>_xlfn.XLOOKUP(Bonos[[#This Row],[ISIN]],[2]bonos!$AG$2:$AG$220,[2]bonos!$H$2:$H$220)</f>
        <v>99.394999999999996</v>
      </c>
      <c r="J72" s="13">
        <f>_xlfn.XLOOKUP(Bonos[[#This Row],[ISIN]],[2]bonos!$AG$2:$AG$220,[2]bonos!$K$2:$K$220)</f>
        <v>5.8749240448719</v>
      </c>
      <c r="K72" s="13">
        <f>_xlfn.XLOOKUP(Bonos[[#This Row],[ISIN]],[2]bonos!$AG$2:$AG$220,[2]bonos!$AP$2:$AP$220)</f>
        <v>147.81754548412999</v>
      </c>
      <c r="L72" s="13">
        <v>5.6758894124054997</v>
      </c>
      <c r="M72" s="14">
        <v>2000</v>
      </c>
      <c r="N72" s="15" t="s">
        <v>133</v>
      </c>
      <c r="O72" s="16">
        <v>750000000</v>
      </c>
      <c r="P72" s="17" t="s">
        <v>161</v>
      </c>
    </row>
  </sheetData>
  <conditionalFormatting sqref="N2:N72">
    <cfRule type="duplicateValues" dxfId="18" priority="1"/>
  </conditionalFormatting>
  <hyperlinks>
    <hyperlink ref="N2" r:id="rId1" xr:uid="{76725CEC-E542-4C48-B21D-3D1BE2EAA354}"/>
    <hyperlink ref="N3" r:id="rId2" xr:uid="{C370E2C9-29C4-4629-846C-C41B924A28B2}"/>
    <hyperlink ref="N4" r:id="rId3" xr:uid="{52E623B7-0DDA-41B8-9B6D-14FE6CE4B61F}"/>
    <hyperlink ref="N5" r:id="rId4" xr:uid="{01763600-0BAD-48FB-83ED-B8E6E458BB0F}"/>
    <hyperlink ref="N6" r:id="rId5" xr:uid="{C9A3109B-C836-47A0-8F96-1BA899EEEB7A}"/>
    <hyperlink ref="N7" r:id="rId6" xr:uid="{96B0B780-32F6-4B91-95C8-BC018A49D919}"/>
    <hyperlink ref="N8" r:id="rId7" xr:uid="{194A24F4-476A-4388-B158-B2C42C56C02F}"/>
    <hyperlink ref="N9" r:id="rId8" xr:uid="{93ED46B6-D159-4034-9C5E-8598E43493DB}"/>
    <hyperlink ref="N10" r:id="rId9" xr:uid="{1CE09E4A-8F37-45B3-A882-4C65EDBC6EAB}"/>
    <hyperlink ref="N11" r:id="rId10" xr:uid="{EF502E88-3B09-4D4A-BB30-129F827D1036}"/>
    <hyperlink ref="N12" r:id="rId11" xr:uid="{16FB8FFA-5146-40AB-B203-029CEEBBC78B}"/>
    <hyperlink ref="N13" r:id="rId12" xr:uid="{29710257-8F76-4091-8380-495A56252A67}"/>
    <hyperlink ref="N14" r:id="rId13" xr:uid="{9DCD5F39-3CF0-4AF0-BE79-4B0F7770B6A8}"/>
    <hyperlink ref="N15" r:id="rId14" xr:uid="{AB0101FD-CE2A-4999-BB68-467E6240CF68}"/>
    <hyperlink ref="N16" r:id="rId15" xr:uid="{65C920AE-93A3-4017-B8C7-9C8C8689190C}"/>
    <hyperlink ref="N20" r:id="rId16" xr:uid="{34020D06-C622-4668-906A-D81FED824CC4}"/>
    <hyperlink ref="N21" r:id="rId17" xr:uid="{C46F4249-F90B-4876-88E6-85DBF0E96860}"/>
    <hyperlink ref="N22" r:id="rId18" xr:uid="{6FFF8185-6039-471A-B312-611B55599FF4}"/>
    <hyperlink ref="N23" r:id="rId19" xr:uid="{92203DB2-6BB1-46F7-80A9-F51DCE1DF12F}"/>
    <hyperlink ref="N24" r:id="rId20" xr:uid="{12A7386B-B570-43F7-94D1-597C611F7E1C}"/>
    <hyperlink ref="N25" r:id="rId21" xr:uid="{FD5FDD6B-06D5-4491-820C-5C099B638AFA}"/>
    <hyperlink ref="N26" r:id="rId22" xr:uid="{224637F3-9363-4689-882B-7E886B1CD14B}"/>
    <hyperlink ref="N28" r:id="rId23" xr:uid="{350CCD17-6E59-4349-AAF3-B790F73C432C}"/>
    <hyperlink ref="N29" r:id="rId24" xr:uid="{C3B9E9C0-C7D0-4CAE-A429-21597C8F4599}"/>
    <hyperlink ref="N30" r:id="rId25" xr:uid="{34CFCE23-2BCF-4A96-9774-EE39CBE51F3F}"/>
    <hyperlink ref="N31" r:id="rId26" xr:uid="{113F98A6-AEF5-4880-975D-D84F051AB347}"/>
    <hyperlink ref="N33" r:id="rId27" xr:uid="{AA8253C7-0C75-4523-9E4E-7607118E633D}"/>
    <hyperlink ref="N34" r:id="rId28" xr:uid="{BFDF88EC-D2F9-43A3-97A9-9369A0BF7FEC}"/>
    <hyperlink ref="N35" r:id="rId29" xr:uid="{34742F6A-151D-4BCD-BC5F-6D5E0F071A8F}"/>
    <hyperlink ref="N36" r:id="rId30" xr:uid="{34863CEB-6F75-4EE5-9783-4C5BDEF5A620}"/>
    <hyperlink ref="N37" r:id="rId31" xr:uid="{35556A0E-1A29-4C25-BB86-E9425F9CFB41}"/>
    <hyperlink ref="N38" r:id="rId32" xr:uid="{665880E9-C07B-48E5-8DC0-F8EA5CF2AAFD}"/>
    <hyperlink ref="N39" r:id="rId33" xr:uid="{44566013-4EE1-411E-867C-2D029FC45F1D}"/>
    <hyperlink ref="N40" r:id="rId34" xr:uid="{E6499354-F12C-44B1-AA84-AC4B3A53FADB}"/>
    <hyperlink ref="N41" r:id="rId35" xr:uid="{167E816E-1227-455C-9627-E752D0FA0B05}"/>
    <hyperlink ref="N42" r:id="rId36" xr:uid="{FCF2758D-F1F4-4119-9478-8B876D4A7A23}"/>
    <hyperlink ref="N43" r:id="rId37" xr:uid="{74264922-A8E2-4FBA-89B6-46C6F25C37C2}"/>
    <hyperlink ref="N44" r:id="rId38" xr:uid="{4C852086-4650-470A-80DB-02BE23CCF5F5}"/>
    <hyperlink ref="N45" r:id="rId39" xr:uid="{B7B33836-6EF9-4212-B3A3-F17F72C50797}"/>
    <hyperlink ref="N47" r:id="rId40" xr:uid="{B83712DA-E2CE-42D1-A08C-72863DD33658}"/>
    <hyperlink ref="N49" r:id="rId41" xr:uid="{67AB54BD-AC34-4589-8F2C-F798B7A09F5D}"/>
    <hyperlink ref="N51" r:id="rId42" xr:uid="{CFF01FF2-8DD0-4BF0-B544-C5D2B25FF19E}"/>
    <hyperlink ref="N52" r:id="rId43" xr:uid="{AB4F5FEC-BF66-4432-B951-DBD067D1391D}"/>
    <hyperlink ref="N53" r:id="rId44" xr:uid="{B44BC268-C9B1-4D35-8A61-B5775A5A028B}"/>
    <hyperlink ref="N54" r:id="rId45" xr:uid="{5D7C9D53-2E84-40E8-BA61-5320181D091B}"/>
    <hyperlink ref="N55" r:id="rId46" xr:uid="{A8795727-E8B3-4AE7-8AE9-E890BEE3C5BF}"/>
    <hyperlink ref="N56" r:id="rId47" xr:uid="{E5D8DC37-A4A4-47F3-9BAE-98269CD6FD73}"/>
    <hyperlink ref="N57" r:id="rId48" xr:uid="{F1B77FBB-ADBE-4A0B-B80D-CD50AB8D1438}"/>
    <hyperlink ref="N58" r:id="rId49" xr:uid="{49EEE676-0394-429A-A3CD-0C344876B586}"/>
    <hyperlink ref="N59" r:id="rId50" xr:uid="{B2458CC8-DBBF-4240-AF46-B0EB816B387B}"/>
    <hyperlink ref="N60" r:id="rId51" xr:uid="{683745DC-55DF-41F7-8307-CEF93F48E5C0}"/>
    <hyperlink ref="N61" r:id="rId52" xr:uid="{E9606208-82D7-456D-B718-676E7F873FB1}"/>
    <hyperlink ref="N63" r:id="rId53" xr:uid="{5C401F55-C2CE-4185-867C-E277D8BA95A7}"/>
    <hyperlink ref="N64" r:id="rId54" xr:uid="{9EB066EF-22C8-4939-8F9E-936B05907177}"/>
    <hyperlink ref="N69" r:id="rId55" xr:uid="{F002B98D-F056-46A4-8F18-3310F4D41A2A}"/>
    <hyperlink ref="N70" r:id="rId56" xr:uid="{E53E3A39-F1EC-4B1D-B7F5-4E698FFF5317}"/>
    <hyperlink ref="N71" r:id="rId57" xr:uid="{621ECAFC-C556-4B2E-B329-17049D11A217}"/>
    <hyperlink ref="N46" r:id="rId58" xr:uid="{C0611DEA-BF7F-4716-B3C9-2BC813F787D4}"/>
    <hyperlink ref="N65" r:id="rId59" xr:uid="{BD7E47A4-B535-426E-8156-834959CA3564}"/>
    <hyperlink ref="N72" r:id="rId60" xr:uid="{0FA04D43-9E13-4E05-89CF-73DA6D28DD73}"/>
    <hyperlink ref="N66" r:id="rId61" xr:uid="{9AE054E2-3F35-4C66-A625-045E293BF79D}"/>
    <hyperlink ref="N67" r:id="rId62" xr:uid="{A2BA32D4-C23A-419C-891C-75321C4FC367}"/>
    <hyperlink ref="N48" r:id="rId63" xr:uid="{99871DF9-C5DC-4FDC-AD75-6713AF303BD8}"/>
    <hyperlink ref="N62" r:id="rId64" xr:uid="{F7476DEC-EB35-440D-9F9E-3635F074F14B}"/>
    <hyperlink ref="N19" r:id="rId65" xr:uid="{B7C0719D-12C1-440A-8E74-F1EC1FE01243}"/>
    <hyperlink ref="N32" r:id="rId66" xr:uid="{1DA51581-72B9-4AC9-8F15-59F9AA508C44}"/>
    <hyperlink ref="N18" r:id="rId67" xr:uid="{C34DF029-BA99-42A0-961A-6921DE05E2D1}"/>
    <hyperlink ref="N27" r:id="rId68" xr:uid="{2423F2A3-29B1-4364-8C5F-252A0825106D}"/>
    <hyperlink ref="N17" r:id="rId69" xr:uid="{9422EA53-8A22-4DAF-B976-9D98FC460BEA}"/>
    <hyperlink ref="N68" r:id="rId70" xr:uid="{AF436497-81EB-4DC2-A4FA-7749A2F72423}"/>
    <hyperlink ref="N50" r:id="rId71" xr:uid="{DC85DBED-8674-4EA2-A26E-18071782CF62}"/>
  </hyperlinks>
  <pageMargins left="0.7" right="0.7" top="0.75" bottom="0.75" header="0.3" footer="0.3"/>
  <tableParts count="1">
    <tablePart r:id="rId7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Luciano Filet</dc:creator>
  <cp:lastModifiedBy>Martin Luciano Filet</cp:lastModifiedBy>
  <dcterms:created xsi:type="dcterms:W3CDTF">2026-05-25T13:03:35Z</dcterms:created>
  <dcterms:modified xsi:type="dcterms:W3CDTF">2026-07-24T18:50:18Z</dcterms:modified>
</cp:coreProperties>
</file>